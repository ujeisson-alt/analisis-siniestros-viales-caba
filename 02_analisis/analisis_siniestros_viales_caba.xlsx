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diccionario" sheetId="2" state="visible" r:id="rId4"/>
    <sheet name="log_limpieza" sheetId="3" state="visible" r:id="rId5"/>
    <sheet name="clasificacion_variables" sheetId="4" state="visible" r:id="rId6"/>
    <sheet name="base_agregada" sheetId="5" state="visible" r:id="rId7"/>
    <sheet name="freq_franja_horaria" sheetId="6" state="visible" r:id="rId8"/>
    <sheet name="freq_modo" sheetId="7" state="visible" r:id="rId9"/>
    <sheet name="freq_tipo_via" sheetId="8" state="visible" r:id="rId10"/>
    <sheet name="freq_gravedad" sheetId="9" state="visible" r:id="rId11"/>
    <sheet name="freq_victimas" sheetId="10" state="visible" r:id="rId12"/>
    <sheet name="estadisticas_descriptivas" sheetId="11" state="visible" r:id="rId13"/>
    <sheet name="cruce_dia_franja" sheetId="12" state="visible" r:id="rId14"/>
    <sheet name="analisis_temporal" sheetId="13" state="visible" r:id="rId15"/>
    <sheet name="hallazgos" sheetId="14" state="visible" r:id="rId16"/>
    <sheet name="graficos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<sst xmlns="http://schemas.openxmlformats.org/spreadsheetml/2006/main" count="762" uniqueCount="523">
  <si>
    <t xml:space="preserve">Análisis estadístico de siniestros viales · Ciudad de Buenos Aires 2019–2025</t>
  </si>
  <si>
    <t xml:space="preserve">Proyecto de portafolio · Data Analyst · Estadística descriptiva aplicada a política pública de seguridad vial</t>
  </si>
  <si>
    <t xml:space="preserve">Autor: Jeisson Marin Uribe Luis · Cliente simulado: Agencia Nacional de Seguridad Vial (ANSV)</t>
  </si>
  <si>
    <t xml:space="preserve">Hoja</t>
  </si>
  <si>
    <t xml:space="preserve">Contenido</t>
  </si>
  <si>
    <t xml:space="preserve">diccionario</t>
  </si>
  <si>
    <t xml:space="preserve">Descripción de cada variable del dataset original y de las variables derivadas.</t>
  </si>
  <si>
    <t xml:space="preserve">log_limpieza</t>
  </si>
  <si>
    <t xml:space="preserve">Cada problema detectado en los datos y la decisión tomada, con registros afectados.</t>
  </si>
  <si>
    <t xml:space="preserve">clasificacion_variables</t>
  </si>
  <si>
    <t xml:space="preserve">Clasificación estadística: cuantitativa/cualitativa, subtipo, escala y justificación.</t>
  </si>
  <si>
    <t xml:space="preserve">base_agregada</t>
  </si>
  <si>
    <t xml:space="preserve">Base de trabajo: tablas de conteo por año, mes, día, hora, vía, modo, comuna y gravedad.</t>
  </si>
  <si>
    <t xml:space="preserve">freq_franja_horaria</t>
  </si>
  <si>
    <t xml:space="preserve">Tabla de frecuencias (absoluta, relativa, acumulada) por franja horaria.</t>
  </si>
  <si>
    <t xml:space="preserve">freq_modo</t>
  </si>
  <si>
    <t xml:space="preserve">Tabla de frecuencias por modo de desplazamiento de la víctima, con Pareto.</t>
  </si>
  <si>
    <t xml:space="preserve">freq_tipo_via</t>
  </si>
  <si>
    <t xml:space="preserve">Tabla de frecuencias por tipo de vía y letalidad asociada.</t>
  </si>
  <si>
    <t xml:space="preserve">freq_gravedad</t>
  </si>
  <si>
    <t xml:space="preserve">Tabla de frecuencias por gravedad del siniestro.</t>
  </si>
  <si>
    <t xml:space="preserve">freq_victimas</t>
  </si>
  <si>
    <t xml:space="preserve">Tabla de frecuencias de la variable cuantitativa discreta “víctimas por siniestro”.</t>
  </si>
  <si>
    <t xml:space="preserve">estadisticas_descriptivas</t>
  </si>
  <si>
    <t xml:space="preserve">Tendencia central, dispersión, cuartiles y asimetría, con interpretación escrita.</t>
  </si>
  <si>
    <t xml:space="preserve">cruce_dia_franja</t>
  </si>
  <si>
    <t xml:space="preserve">Tabla cruzada día de la semana × franja horaria.</t>
  </si>
  <si>
    <t xml:space="preserve">analisis_temporal</t>
  </si>
  <si>
    <t xml:space="preserve">Serie anual y mensual, variaciones y tendencia lineal.</t>
  </si>
  <si>
    <t xml:space="preserve">hallazgos</t>
  </si>
  <si>
    <t xml:space="preserve">Los 5 hallazgos principales cuantificados y su evidencia.</t>
  </si>
  <si>
    <t xml:space="preserve">graficos</t>
  </si>
  <si>
    <t xml:space="preserve">Gráficos estadísticos del proyecto.</t>
  </si>
  <si>
    <t xml:space="preserve">Fuente:</t>
  </si>
  <si>
    <t xml:space="preserve">Buenos Aires Data — “Siniestros viales” (hechos), Secretaría de Transporte y Obras Públicas. 65.818 siniestros, 2019-2025.</t>
  </si>
  <si>
    <t xml:space="preserve">Nota:</t>
  </si>
  <si>
    <t xml:space="preserve">El archivo original (12 MB, 65.818 filas) se procesó completo; este libro contiene la base agregada y todas las tablas del análisis.</t>
  </si>
  <si>
    <t xml:space="preserve">Diccionario de variables</t>
  </si>
  <si>
    <t xml:space="preserve">Dataset original “siniestros_viales_hechos.csv” (separador «;») y variables derivadas para el análisis.</t>
  </si>
  <si>
    <t xml:space="preserve">Variable</t>
  </si>
  <si>
    <t xml:space="preserve">Tipo</t>
  </si>
  <si>
    <t xml:space="preserve">Descripción</t>
  </si>
  <si>
    <t xml:space="preserve">Ejemplo</t>
  </si>
  <si>
    <t xml:space="preserve">Valores únicos</t>
  </si>
  <si>
    <t xml:space="preserve">¿Tiene nulos?</t>
  </si>
  <si>
    <t xml:space="preserve">id_siniestro</t>
  </si>
  <si>
    <t xml:space="preserve">Texto</t>
  </si>
  <si>
    <t xml:space="preserve">Identificador único del siniestro</t>
  </si>
  <si>
    <t xml:space="preserve">LC-2019-0000053</t>
  </si>
  <si>
    <t xml:space="preserve">65.818</t>
  </si>
  <si>
    <t xml:space="preserve">No</t>
  </si>
  <si>
    <t xml:space="preserve">numero_total_de_victimas</t>
  </si>
  <si>
    <t xml:space="preserve">Numérico</t>
  </si>
  <si>
    <t xml:space="preserve">Personas involucradas como víctimas en el siniestro</t>
  </si>
  <si>
    <t xml:space="preserve">1</t>
  </si>
  <si>
    <t xml:space="preserve">1 a 26</t>
  </si>
  <si>
    <t xml:space="preserve">Sí: 3.276 con “SD”</t>
  </si>
  <si>
    <t xml:space="preserve">numero_victimas_leve/grave/mortal_siniestro</t>
  </si>
  <si>
    <t xml:space="preserve">Víctimas del siniestro según gravedad</t>
  </si>
  <si>
    <t xml:space="preserve">1 / 0 / 0</t>
  </si>
  <si>
    <t xml:space="preserve">0 a 26</t>
  </si>
  <si>
    <t xml:space="preserve">Sí</t>
  </si>
  <si>
    <t xml:space="preserve">fecha_siniestro</t>
  </si>
  <si>
    <t xml:space="preserve">Fecha</t>
  </si>
  <si>
    <t xml:space="preserve">Fecha del hecho</t>
  </si>
  <si>
    <t xml:space="preserve">2019-01-01</t>
  </si>
  <si>
    <t xml:space="preserve">2.557 días</t>
  </si>
  <si>
    <t xml:space="preserve">anio_siniestro / mes_siniestro / dia_siniestro</t>
  </si>
  <si>
    <t xml:space="preserve">Componentes de la fecha</t>
  </si>
  <si>
    <t xml:space="preserve">2019 / 1 / 1</t>
  </si>
  <si>
    <t xml:space="preserve">7 / 12 / 31</t>
  </si>
  <si>
    <t xml:space="preserve">hora_siniestro</t>
  </si>
  <si>
    <t xml:space="preserve">Hora (texto)</t>
  </si>
  <si>
    <t xml:space="preserve">Hora del hecho en formato HH:MM:SS</t>
  </si>
  <si>
    <t xml:space="preserve">01:55:00</t>
  </si>
  <si>
    <t xml:space="preserve">0 a 23</t>
  </si>
  <si>
    <t xml:space="preserve">Sí: 81</t>
  </si>
  <si>
    <t xml:space="preserve">rango_horario</t>
  </si>
  <si>
    <t xml:space="preserve">Hora redondeada provista por la fuente</t>
  </si>
  <si>
    <t xml:space="preserve">direccion_normalizada_siniestro</t>
  </si>
  <si>
    <t xml:space="preserve">Dirección del hecho</t>
  </si>
  <si>
    <t xml:space="preserve">ALBARELLOS AV. 2316</t>
  </si>
  <si>
    <t xml:space="preserve">—</t>
  </si>
  <si>
    <t xml:space="preserve">Sí: 12.900</t>
  </si>
  <si>
    <t xml:space="preserve">comuna_siniestro</t>
  </si>
  <si>
    <t xml:space="preserve">Comuna de la CABA donde ocurrió</t>
  </si>
  <si>
    <t xml:space="preserve">Comuna 8 / 12 / SD</t>
  </si>
  <si>
    <t xml:space="preserve">15 + SD</t>
  </si>
  <si>
    <t xml:space="preserve">Sí: 3.552</t>
  </si>
  <si>
    <t xml:space="preserve">tipo_de_via_siniestro</t>
  </si>
  <si>
    <t xml:space="preserve">Tipo de vía: avenida, calle, autopista, Av. Gral. Paz</t>
  </si>
  <si>
    <t xml:space="preserve">AVENIDA</t>
  </si>
  <si>
    <t xml:space="preserve">4 + SD</t>
  </si>
  <si>
    <t xml:space="preserve">Sí: 12.542</t>
  </si>
  <si>
    <t xml:space="preserve">longitud/latitud_siniestro</t>
  </si>
  <si>
    <t xml:space="preserve">Coordenadas del hecho</t>
  </si>
  <si>
    <t xml:space="preserve">-58,44 / -34,67</t>
  </si>
  <si>
    <t xml:space="preserve">Sí (#¡REF!)</t>
  </si>
  <si>
    <t xml:space="preserve">participantes_siniestro</t>
  </si>
  <si>
    <t xml:space="preserve">Par de participantes del hecho</t>
  </si>
  <si>
    <t xml:space="preserve">MOTO-AUTO</t>
  </si>
  <si>
    <t xml:space="preserve">modo_desplazamiento_victima</t>
  </si>
  <si>
    <t xml:space="preserve">Cómo se desplazaba la víctima</t>
  </si>
  <si>
    <t xml:space="preserve">MOTO</t>
  </si>
  <si>
    <t xml:space="preserve">13 + SD</t>
  </si>
  <si>
    <t xml:space="preserve">Sí: 10.929</t>
  </si>
  <si>
    <t xml:space="preserve">contraparte_siniestro</t>
  </si>
  <si>
    <t xml:space="preserve">Con qué colisionó la víctima</t>
  </si>
  <si>
    <t xml:space="preserve">AUTO</t>
  </si>
  <si>
    <t xml:space="preserve">16 + SD</t>
  </si>
  <si>
    <t xml:space="preserve">Sí: 14.067</t>
  </si>
  <si>
    <t xml:space="preserve">gravedad_siniestro</t>
  </si>
  <si>
    <t xml:space="preserve">Gravedad máxima del siniestro</t>
  </si>
  <si>
    <t xml:space="preserve">LEVE / GRAVE / MORTAL</t>
  </si>
  <si>
    <t xml:space="preserve">3</t>
  </si>
  <si>
    <t xml:space="preserve">— DERIVADAS —</t>
  </si>
  <si>
    <t xml:space="preserve">franja_horaria</t>
  </si>
  <si>
    <t xml:space="preserve">Texto (ordinal)</t>
  </si>
  <si>
    <t xml:space="preserve">Madrugada 0-5, Mañana 6-11, Tarde 12-17, Noche 18-23</t>
  </si>
  <si>
    <t xml:space="preserve">Tarde</t>
  </si>
  <si>
    <t xml:space="preserve">4 + No informado</t>
  </si>
  <si>
    <t xml:space="preserve">dia_semana</t>
  </si>
  <si>
    <t xml:space="preserve">Día de la semana calculado con la fecha</t>
  </si>
  <si>
    <t xml:space="preserve">Viernes</t>
  </si>
  <si>
    <t xml:space="preserve">7</t>
  </si>
  <si>
    <t xml:space="preserve">mes_nombre / trimestre</t>
  </si>
  <si>
    <t xml:space="preserve">Texto / Numérico</t>
  </si>
  <si>
    <t xml:space="preserve">Mes y trimestre del siniestro</t>
  </si>
  <si>
    <t xml:space="preserve">Octubre / 4</t>
  </si>
  <si>
    <t xml:space="preserve">12 / 4</t>
  </si>
  <si>
    <t xml:space="preserve">letalidad</t>
  </si>
  <si>
    <t xml:space="preserve">Muertes cada 1.000 siniestros del grupo</t>
  </si>
  <si>
    <t xml:space="preserve">11,7</t>
  </si>
  <si>
    <t xml:space="preserve">Log de limpieza</t>
  </si>
  <si>
    <t xml:space="preserve">Cada decisión tomada sobre los datos originales, con el número de registros afectados. Nada se imputó en silencio.</t>
  </si>
  <si>
    <t xml:space="preserve">Columna</t>
  </si>
  <si>
    <t xml:space="preserve">Problema encontrado</t>
  </si>
  <si>
    <t xml:space="preserve">Decisión tomada</t>
  </si>
  <si>
    <t xml:space="preserve">Registros afectados</t>
  </si>
  <si>
    <t xml:space="preserve">2026-09-18</t>
  </si>
  <si>
    <t xml:space="preserve">Verificación de duplicados exactos por identificador</t>
  </si>
  <si>
    <t xml:space="preserve">No se encontraron duplicados: 65.818 IDs únicos</t>
  </si>
  <si>
    <t xml:space="preserve">Valor “SD” (sin dato) en el total de víctimas, sobre todo en 2025</t>
  </si>
  <si>
    <t xml:space="preserve">Se recalculó como leves + graves + mortales; si el resultado daba 0 se asignó 1 (hay al menos una víctima registrada)</t>
  </si>
  <si>
    <t xml:space="preserve">Hora vacía o fuera del rango 0-23</t>
  </si>
  <si>
    <t xml:space="preserve">Se creó la categoría “No informado” en lugar de eliminar el registro</t>
  </si>
  <si>
    <t xml:space="preserve">Dos formatos conviviendo: “Comuna 8” y “8”</t>
  </si>
  <si>
    <t xml:space="preserve">Se unificó a “Comuna N” extrayendo el número</t>
  </si>
  <si>
    <t xml:space="preserve">Valores “SD” o “#¡REF!”</t>
  </si>
  <si>
    <t xml:space="preserve">Se categorizó como “No informado”; no se eliminan filas porque el resto de las variables es válido</t>
  </si>
  <si>
    <t xml:space="preserve">Valores “SD” y variantes de mayúsculas</t>
  </si>
  <si>
    <t xml:space="preserve">Se normalizó a Avenida, Calle, Autopista y Av. Gral. Paz; “SD” pasó a “No informado”</t>
  </si>
  <si>
    <t xml:space="preserve">Valores “SD” y “#¡REF!”</t>
  </si>
  <si>
    <t xml:space="preserve">Se categorizó como “No informado” y se excluye de los porcentajes por modo</t>
  </si>
  <si>
    <t xml:space="preserve">Mismo valor en mayúsculas y minúsculas (“auto” / “AUTO”)</t>
  </si>
  <si>
    <t xml:space="preserve">Se normalizó la capitalización con NOMPROPIO(ESPACIOS())</t>
  </si>
  <si>
    <t xml:space="preserve">Valores “SD” o vacíos</t>
  </si>
  <si>
    <t xml:space="preserve">Se categorizó como “No informado”</t>
  </si>
  <si>
    <t xml:space="preserve">Formato inconsistente: “2019-01-01” y “2025-10-1”</t>
  </si>
  <si>
    <t xml:space="preserve">Se estandarizó a AAAA-MM-DD; todas las fechas quedaron dentro del período 01/01/2019 – 31/12/2025</t>
  </si>
  <si>
    <t xml:space="preserve">geocodificación / lat / long</t>
  </si>
  <si>
    <t xml:space="preserve">Valores “#¡REF!” y “POINT (SD SD)”</t>
  </si>
  <si>
    <t xml:space="preserve">No se usan en este análisis (el alcance excluye mapas); se dejan como están</t>
  </si>
  <si>
    <t xml:space="preserve">Resumen: 65.818 filas leídas · 65.818 conservadas (100 %) · 0 eliminadas. Ningún registro se descartó: los faltantes se tratan como categoría “No informado”.</t>
  </si>
  <si>
    <t xml:space="preserve">Clasificación estadística de las variables</t>
  </si>
  <si>
    <t xml:space="preserve">Tipo, subtipo y escala de medición de cada variable usada en el análisis.</t>
  </si>
  <si>
    <t xml:space="preserve">Subtipo</t>
  </si>
  <si>
    <t xml:space="preserve">Escala</t>
  </si>
  <si>
    <t xml:space="preserve">Justificación</t>
  </si>
  <si>
    <t xml:space="preserve">Cuantitativa</t>
  </si>
  <si>
    <t xml:space="preserve">Discreta</t>
  </si>
  <si>
    <t xml:space="preserve">Razón</t>
  </si>
  <si>
    <t xml:space="preserve">Son conteos enteros de personas; el cero significa ausencia real de víctimas, por eso admite razones (2 víctimas es el doble que 1).</t>
  </si>
  <si>
    <t xml:space="preserve">Intervalo</t>
  </si>
  <si>
    <t xml:space="preserve">Número entero de 0 a 23; el 0 es la medianoche, no la ausencia de tiempo, por lo que no tiene cero absoluto.</t>
  </si>
  <si>
    <t xml:space="preserve">anio_siniestro</t>
  </si>
  <si>
    <t xml:space="preserve">Solo toma valores enteros y el “año 0” no representa ausencia de tiempo.</t>
  </si>
  <si>
    <t xml:space="preserve">Cualitativa</t>
  </si>
  <si>
    <t xml:space="preserve">Ordinal</t>
  </si>
  <si>
    <t xml:space="preserve">Las franjas tienen un orden natural: Madrugada &lt; Mañana &lt; Tarde &lt; Noche.</t>
  </si>
  <si>
    <t xml:space="preserve">Los días siguen un orden convencional cíclico (lunes a domingo).</t>
  </si>
  <si>
    <t xml:space="preserve">mes_siniestro</t>
  </si>
  <si>
    <t xml:space="preserve">Orden natural de enero a diciembre; se analiza como categoría, no como número.</t>
  </si>
  <si>
    <t xml:space="preserve">Existe una jerarquía clara de impacto: Leve &lt; Grave &lt; Mortal.</t>
  </si>
  <si>
    <t xml:space="preserve">Nominal</t>
  </si>
  <si>
    <t xml:space="preserve">Unidades geográficas sin orden inherente; el número de comuna es una etiqueta.</t>
  </si>
  <si>
    <t xml:space="preserve">Categorías de infraestructura vial sin jerarquía natural.</t>
  </si>
  <si>
    <t xml:space="preserve">Formas de desplazamiento sin orden; se comparan por frecuencia, no por magnitud.</t>
  </si>
  <si>
    <t xml:space="preserve">Con qué colisionó la víctima; categorías sin orden.</t>
  </si>
  <si>
    <t xml:space="preserve">letalidad (derivada)</t>
  </si>
  <si>
    <t xml:space="preserve">Continua</t>
  </si>
  <si>
    <t xml:space="preserve">Tasa por cada 1.000 siniestros; admite decimales y el cero significa ausencia de muertes.</t>
  </si>
  <si>
    <t xml:space="preserve">Advertencia metodológica: no tiene sentido calcular la media de una variable cualitativa ordinal como “franja horaria” o “gravedad”; en esos casos la medida de tendencia central válida es la moda (y la mediana en las ordinales).</t>
  </si>
  <si>
    <t xml:space="preserve">Base agregada de trabajo</t>
  </si>
  <si>
    <t xml:space="preserve">Conteos obtenidos del dataset completo (65.818 siniestros). Todas las tablas de frecuencias y estadísticas de este libro se calculan con fórmulas sobre estos bloques.</t>
  </si>
  <si>
    <t xml:space="preserve">B1 · Por año</t>
  </si>
  <si>
    <t xml:space="preserve">B4 · Por hora del día</t>
  </si>
  <si>
    <t xml:space="preserve">B6 · Por tipo de vía</t>
  </si>
  <si>
    <t xml:space="preserve">B9 · Por gravedad</t>
  </si>
  <si>
    <t xml:space="preserve">B12 · Serie mensual</t>
  </si>
  <si>
    <t xml:space="preserve">Año</t>
  </si>
  <si>
    <t xml:space="preserve">Siniestros</t>
  </si>
  <si>
    <t xml:space="preserve">Víctimas</t>
  </si>
  <si>
    <t xml:space="preserve">Leves</t>
  </si>
  <si>
    <t xml:space="preserve">Graves</t>
  </si>
  <si>
    <t xml:space="preserve">Mortales</t>
  </si>
  <si>
    <t xml:space="preserve">Hora</t>
  </si>
  <si>
    <t xml:space="preserve">Tipo de vía</t>
  </si>
  <si>
    <t xml:space="preserve">Gravedad</t>
  </si>
  <si>
    <t xml:space="preserve">Año-Mes</t>
  </si>
  <si>
    <t xml:space="preserve">Avenida</t>
  </si>
  <si>
    <t xml:space="preserve">Leve</t>
  </si>
  <si>
    <t xml:space="preserve">2019-01</t>
  </si>
  <si>
    <t xml:space="preserve">Calle</t>
  </si>
  <si>
    <t xml:space="preserve">Grave</t>
  </si>
  <si>
    <t xml:space="preserve">2019-02</t>
  </si>
  <si>
    <t xml:space="preserve">No informado</t>
  </si>
  <si>
    <t xml:space="preserve">Mortal</t>
  </si>
  <si>
    <t xml:space="preserve">2019-03</t>
  </si>
  <si>
    <t xml:space="preserve">Av. Gral. Paz</t>
  </si>
  <si>
    <t xml:space="preserve">2019-04</t>
  </si>
  <si>
    <t xml:space="preserve">Autopista</t>
  </si>
  <si>
    <t xml:space="preserve">B10 · Víctimas por siniestro</t>
  </si>
  <si>
    <t xml:space="preserve">2019-05</t>
  </si>
  <si>
    <t xml:space="preserve">2019-06</t>
  </si>
  <si>
    <t xml:space="preserve">B7 · Por modo de desplazamiento de la víctima</t>
  </si>
  <si>
    <t xml:space="preserve">2019-07</t>
  </si>
  <si>
    <t xml:space="preserve">Modo</t>
  </si>
  <si>
    <t xml:space="preserve">2019-08</t>
  </si>
  <si>
    <t xml:space="preserve">B2 · Por mes (acumulado 2019-2025)</t>
  </si>
  <si>
    <t xml:space="preserve">Moto</t>
  </si>
  <si>
    <t xml:space="preserve">2019-09</t>
  </si>
  <si>
    <t xml:space="preserve">Mes</t>
  </si>
  <si>
    <t xml:space="preserve">2019-10</t>
  </si>
  <si>
    <t xml:space="preserve">Enero</t>
  </si>
  <si>
    <t xml:space="preserve">Peatón</t>
  </si>
  <si>
    <t xml:space="preserve">2019-11</t>
  </si>
  <si>
    <t xml:space="preserve">Febrero</t>
  </si>
  <si>
    <t xml:space="preserve">Bicicleta</t>
  </si>
  <si>
    <t xml:space="preserve">2019-12</t>
  </si>
  <si>
    <t xml:space="preserve">Marzo</t>
  </si>
  <si>
    <t xml:space="preserve">Auto</t>
  </si>
  <si>
    <t xml:space="preserve">2020-01</t>
  </si>
  <si>
    <t xml:space="preserve">Abril</t>
  </si>
  <si>
    <t xml:space="preserve">Transporte público</t>
  </si>
  <si>
    <t xml:space="preserve">2020-02</t>
  </si>
  <si>
    <t xml:space="preserve">Mayo</t>
  </si>
  <si>
    <t xml:space="preserve">Taxi</t>
  </si>
  <si>
    <t xml:space="preserve">2020-03</t>
  </si>
  <si>
    <t xml:space="preserve">Junio</t>
  </si>
  <si>
    <t xml:space="preserve">Utilitario</t>
  </si>
  <si>
    <t xml:space="preserve">10 o más</t>
  </si>
  <si>
    <t xml:space="preserve">2020-04</t>
  </si>
  <si>
    <t xml:space="preserve">Julio</t>
  </si>
  <si>
    <t xml:space="preserve">Móvil</t>
  </si>
  <si>
    <t xml:space="preserve">2020-05</t>
  </si>
  <si>
    <t xml:space="preserve">Agosto</t>
  </si>
  <si>
    <t xml:space="preserve">Mixto</t>
  </si>
  <si>
    <t xml:space="preserve">2020-06</t>
  </si>
  <si>
    <t xml:space="preserve">Septiembre</t>
  </si>
  <si>
    <t xml:space="preserve">Camión</t>
  </si>
  <si>
    <t xml:space="preserve">B11 · Por contraparte</t>
  </si>
  <si>
    <t xml:space="preserve">2020-07</t>
  </si>
  <si>
    <t xml:space="preserve">Octubre</t>
  </si>
  <si>
    <t xml:space="preserve">Monopatín</t>
  </si>
  <si>
    <t xml:space="preserve">Contraparte</t>
  </si>
  <si>
    <t xml:space="preserve">2020-08</t>
  </si>
  <si>
    <t xml:space="preserve">Noviembre</t>
  </si>
  <si>
    <t xml:space="preserve">Otro</t>
  </si>
  <si>
    <t xml:space="preserve">2020-09</t>
  </si>
  <si>
    <t xml:space="preserve">Diciembre</t>
  </si>
  <si>
    <t xml:space="preserve">2020-10</t>
  </si>
  <si>
    <t xml:space="preserve">2020-11</t>
  </si>
  <si>
    <t xml:space="preserve">B8 · Por comuna</t>
  </si>
  <si>
    <t xml:space="preserve">2020-12</t>
  </si>
  <si>
    <t xml:space="preserve">B3 · Por día de la semana</t>
  </si>
  <si>
    <t xml:space="preserve">Comuna</t>
  </si>
  <si>
    <t xml:space="preserve">2021-01</t>
  </si>
  <si>
    <t xml:space="preserve">Día</t>
  </si>
  <si>
    <t xml:space="preserve">Comuna 1</t>
  </si>
  <si>
    <t xml:space="preserve">2021-02</t>
  </si>
  <si>
    <t xml:space="preserve">Lunes</t>
  </si>
  <si>
    <t xml:space="preserve">Comuna 15</t>
  </si>
  <si>
    <t xml:space="preserve">2021-03</t>
  </si>
  <si>
    <t xml:space="preserve">Martes</t>
  </si>
  <si>
    <t xml:space="preserve">B5 · Por franja horaria</t>
  </si>
  <si>
    <t xml:space="preserve">Comuna 3</t>
  </si>
  <si>
    <t xml:space="preserve">Objeto fijo</t>
  </si>
  <si>
    <t xml:space="preserve">2021-04</t>
  </si>
  <si>
    <t xml:space="preserve">Miércoles</t>
  </si>
  <si>
    <t xml:space="preserve">Franja</t>
  </si>
  <si>
    <t xml:space="preserve">Comuna 4</t>
  </si>
  <si>
    <t xml:space="preserve">2021-05</t>
  </si>
  <si>
    <t xml:space="preserve">Jueves</t>
  </si>
  <si>
    <t xml:space="preserve">Madrugada (0-5 hs)</t>
  </si>
  <si>
    <t xml:space="preserve">Comuna 14</t>
  </si>
  <si>
    <t xml:space="preserve">2021-06</t>
  </si>
  <si>
    <t xml:space="preserve">Mañana (6-11 hs)</t>
  </si>
  <si>
    <t xml:space="preserve">Comuna 9</t>
  </si>
  <si>
    <t xml:space="preserve">Múltiple</t>
  </si>
  <si>
    <t xml:space="preserve">2021-07</t>
  </si>
  <si>
    <t xml:space="preserve">Sábado</t>
  </si>
  <si>
    <t xml:space="preserve">Tarde (12-17 hs)</t>
  </si>
  <si>
    <t xml:space="preserve">Comuna 7</t>
  </si>
  <si>
    <t xml:space="preserve">2021-08</t>
  </si>
  <si>
    <t xml:space="preserve">Domingo</t>
  </si>
  <si>
    <t xml:space="preserve">Noche (18-23 hs)</t>
  </si>
  <si>
    <t xml:space="preserve">Comuna 12</t>
  </si>
  <si>
    <t xml:space="preserve">Camioneta</t>
  </si>
  <si>
    <t xml:space="preserve">2021-09</t>
  </si>
  <si>
    <t xml:space="preserve">Comuna 13</t>
  </si>
  <si>
    <t xml:space="preserve">2021-10</t>
  </si>
  <si>
    <t xml:space="preserve">Comuna 10</t>
  </si>
  <si>
    <t xml:space="preserve">2021-11</t>
  </si>
  <si>
    <t xml:space="preserve">Tren</t>
  </si>
  <si>
    <t xml:space="preserve">2021-12</t>
  </si>
  <si>
    <t xml:space="preserve">Comuna 11</t>
  </si>
  <si>
    <t xml:space="preserve">2022-01</t>
  </si>
  <si>
    <t xml:space="preserve">Comuna 5</t>
  </si>
  <si>
    <t xml:space="preserve">2022-02</t>
  </si>
  <si>
    <t xml:space="preserve">Comuna 8</t>
  </si>
  <si>
    <t xml:space="preserve">2022-03</t>
  </si>
  <si>
    <t xml:space="preserve">Comuna 6</t>
  </si>
  <si>
    <t xml:space="preserve">2022-04</t>
  </si>
  <si>
    <t xml:space="preserve">Comuna 2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</si>
  <si>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</si>
  <si>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</si>
  <si>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</si>
  <si>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</si>
  <si>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</si>
  <si>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</si>
  <si>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</si>
  <si>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</si>
  <si>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</si>
  <si>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</si>
  <si>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</si>
  <si>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</si>
  <si>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</si>
  <si>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</si>
  <si>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</si>
  <si>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</si>
  <si>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</si>
  <si>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</si>
  <si>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</si>
  <si>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</si>
  <si>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</si>
  <si>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</si>
  <si>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</si>
  <si>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</si>
  <si>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</si>
  <si>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</si>
  <si>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</si>
  <si>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</si>
  <si>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</si>
  <si>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</si>
  <si>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</si>
  <si>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</si>
  <si>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</si>
  <si>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</si>
  <si>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</si>
  <si>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</si>
  <si>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</si>
  <si>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</si>
  <si>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</si>
  <si>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</si>
  <si>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</si>
  <si>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</si>
  <si>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</si>
  <si>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</si>
  <si>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Tabla de frecuencias · Franja horaria</t>
  </si>
  <si>
    <t xml:space="preserve">Variable cualitativa ordinal. Responde la pregunta 1: ¿en qué momentos ocurren más siniestros?</t>
  </si>
  <si>
    <t xml:space="preserve">Categoría</t>
  </si>
  <si>
    <t xml:space="preserve">Frec. absoluta</t>
  </si>
  <si>
    <t xml:space="preserve">Frec. relativa</t>
  </si>
  <si>
    <t xml:space="preserve">Frec. rel. %</t>
  </si>
  <si>
    <t xml:space="preserve">Frec. acumulada</t>
  </si>
  <si>
    <t xml:space="preserve">Frec. ac. %</t>
  </si>
  <si>
    <t xml:space="preserve">Víctimas / siniestro</t>
  </si>
  <si>
    <t xml:space="preserve">Muertes cada 1.000 siniestros</t>
  </si>
  <si>
    <t xml:space="preserve">TOTAL</t>
  </si>
  <si>
    <t xml:space="preserve">Control: la suma de frecuencias relativas debe ser 1,0000</t>
  </si>
  <si>
    <t xml:space="preserve">Lectura: la franja con más siniestros es la Tarde (12-17 hs) con el 40,2 % del total; sin embargo, la Madrugada (0-5 hs), con apenas el 8,0 % de los casos, tiene la mayor letalidad: 26,3 muertes cada 1.000 siniestros, 3,5 veces la de la tarde.</t>
  </si>
  <si>
    <t xml:space="preserve">Tabla de frecuencias · Modo de desplazamiento de la víctima</t>
  </si>
  <si>
    <t xml:space="preserve">Variable cualitativa nominal, ordenada de mayor a menor. Responde la pregunta 2: ¿qué usuarios concentran los siniestros y las víctimas?</t>
  </si>
  <si>
    <t xml:space="preserve">Modo de desplazamiento</t>
  </si>
  <si>
    <t xml:space="preserve">Pareto: moto, peatón y bicicleta reúnen el 62,4 % de los siniestros y el 87,5 % de las víctimas mortales. La categoría “No informado” (16,6 %) corresponde en su mayoría a registros de 2025 sin completar y no tiene muertes asignadas.</t>
  </si>
  <si>
    <t xml:space="preserve">Tabla de frecuencias · Tipo de vía</t>
  </si>
  <si>
    <t xml:space="preserve">Variable cualitativa nominal. Responde la segunda parte de la pregunta 2: ¿qué vías concentran las víctimas?</t>
  </si>
  <si>
    <t xml:space="preserve">Lectura: las avenidas concentran el 46,4 % de los siniestros y el 60,6 % de las muertes. Las autopistas, con solo el 1,6 % de los hechos, presentan la letalidad más alta: 68,2 muertes cada 1.000 siniestros, 8,5 veces la de las calles.</t>
  </si>
  <si>
    <t xml:space="preserve">Tabla de frecuencias · Gravedad del siniestro</t>
  </si>
  <si>
    <t xml:space="preserve">Variable cualitativa ordinal (Leve &lt; Grave &lt; Mortal).</t>
  </si>
  <si>
    <t xml:space="preserve">Lectura: el 94,5 % de los siniestros registrados es leve, el 4,5 % grave y el 1,0 % mortal. Aun así, ese 1 % equivale a 703 personas fallecidas en siete años.</t>
  </si>
  <si>
    <t xml:space="preserve">Tabla de frecuencias · Víctimas por siniestro</t>
  </si>
  <si>
    <t xml:space="preserve">Variable cuantitativa discreta. Como toma pocos valores, se tabula valor por valor y se agrupa la cola en “10 o más”.</t>
  </si>
  <si>
    <t xml:space="preserve">Víctimas por siniestro</t>
  </si>
  <si>
    <t xml:space="preserve">Valor (para cálculos)</t>
  </si>
  <si>
    <t xml:space="preserve">2</t>
  </si>
  <si>
    <t xml:space="preserve">4</t>
  </si>
  <si>
    <t xml:space="preserve">5</t>
  </si>
  <si>
    <t xml:space="preserve">6</t>
  </si>
  <si>
    <t xml:space="preserve">8</t>
  </si>
  <si>
    <t xml:space="preserve">9</t>
  </si>
  <si>
    <t xml:space="preserve">Interpretación: el 89,7 % de los siniestros involucra una sola víctima. Los siniestros con 3 o más víctimas son apenas el 2,2 % (1.471 casos), pero son los que generan los eventos de mayor impacto: el máximo registrado es de 26 víctimas en un solo hecho.</t>
  </si>
  <si>
    <t xml:space="preserve">Nota de cálculo: la categoría “10 o más” (16 siniestros) se computa como 10 en las medidas de dispersión; el efecto sobre el desvío estándar es menor a 0,01.</t>
  </si>
  <si>
    <t xml:space="preserve">Estadísticas descriptivas</t>
  </si>
  <si>
    <t xml:space="preserve">Variable: número de víctimas por siniestro (cuantitativa discreta). Calculadas con fórmulas sobre la tabla de frecuencias.</t>
  </si>
  <si>
    <t xml:space="preserve">Medida</t>
  </si>
  <si>
    <t xml:space="preserve">Fórmula utilizada</t>
  </si>
  <si>
    <t xml:space="preserve">Resultado</t>
  </si>
  <si>
    <t xml:space="preserve">Interpretación</t>
  </si>
  <si>
    <t xml:space="preserve">Cantidad de siniestros (n)</t>
  </si>
  <si>
    <t xml:space="preserve">SUMA(frecuencias)</t>
  </si>
  <si>
    <t xml:space="preserve">Base del análisis: 65.818 siniestros con al menos una víctima.</t>
  </si>
  <si>
    <t xml:space="preserve">Total de víctimas (10+ computado como 10)</t>
  </si>
  <si>
    <t xml:space="preserve">SUMAPRODUCTO(valores;frecuencias)</t>
  </si>
  <si>
    <t xml:space="preserve">75.127 con la cola agrupada; el total exacto del dataset es 75.193 víctimas.</t>
  </si>
  <si>
    <t xml:space="preserve">Media aritmética</t>
  </si>
  <si>
    <t xml:space="preserve">Total víctimas / n</t>
  </si>
  <si>
    <t xml:space="preserve">En promedio, cada siniestro involucra 1,14 víctimas.</t>
  </si>
  <si>
    <t xml:space="preserve">Mediana</t>
  </si>
  <si>
    <t xml:space="preserve">valor donde la frec. acumulada alcanza n/2</t>
  </si>
  <si>
    <t xml:space="preserve">La mitad de los siniestros tiene 1 víctima o menos: la distribución está muy concentrada.</t>
  </si>
  <si>
    <t xml:space="preserve">Moda</t>
  </si>
  <si>
    <t xml:space="preserve">valor con mayor frecuencia</t>
  </si>
  <si>
    <t xml:space="preserve">El número de víctimas más frecuente es 1 (59.052 siniestros).</t>
  </si>
  <si>
    <t xml:space="preserve">Mínimo</t>
  </si>
  <si>
    <t xml:space="preserve">MIN(valores observados)</t>
  </si>
  <si>
    <t xml:space="preserve">Todo siniestro registrado en esta base tiene al menos una víctima.</t>
  </si>
  <si>
    <t xml:space="preserve">Máximo</t>
  </si>
  <si>
    <t xml:space="preserve">MAX(valores observados)</t>
  </si>
  <si>
    <t xml:space="preserve">El siniestro más grave del período involucró 26 víctimas.</t>
  </si>
  <si>
    <t xml:space="preserve">Rango</t>
  </si>
  <si>
    <t xml:space="preserve">Máximo - Mínimo</t>
  </si>
  <si>
    <t xml:space="preserve">Amplitud total de la variable.</t>
  </si>
  <si>
    <t xml:space="preserve">Varianza muestral</t>
  </si>
  <si>
    <t xml:space="preserve">SUMAPRODUCTO(frec;(valor-media)^2)/(n-1)</t>
  </si>
  <si>
    <t xml:space="preserve">Dispersión cuadrática respecto de la media.</t>
  </si>
  <si>
    <t xml:space="preserve">Desvío estándar</t>
  </si>
  <si>
    <t xml:space="preserve">RAIZ(varianza)</t>
  </si>
  <si>
    <t xml:space="preserve">Las víctimas por siniestro varían en promedio ±0,51 respecto de la media.</t>
  </si>
  <si>
    <t xml:space="preserve">Coeficiente de variación</t>
  </si>
  <si>
    <t xml:space="preserve">Desvío / Media × 100</t>
  </si>
  <si>
    <t xml:space="preserve">44,6 %: dispersión moderada. La mayoría de los siniestros se parece entre sí en número de víctimas.</t>
  </si>
  <si>
    <t xml:space="preserve">Primer cuartil Q1</t>
  </si>
  <si>
    <t xml:space="preserve">valor donde la frec. ac. alcanza 25 %</t>
  </si>
  <si>
    <t xml:space="preserve">El 25 % de los siniestros tiene 1 víctima o menos.</t>
  </si>
  <si>
    <t xml:space="preserve">Tercer cuartil Q3</t>
  </si>
  <si>
    <t xml:space="preserve">valor donde la frec. ac. alcanza 75 %</t>
  </si>
  <si>
    <t xml:space="preserve">El 75 % de los siniestros tiene 1 víctima o menos.</t>
  </si>
  <si>
    <t xml:space="preserve">Rango intercuartílico (RIC)</t>
  </si>
  <si>
    <t xml:space="preserve">Q3 - Q1</t>
  </si>
  <si>
    <t xml:space="preserve">RIC = 0: el 50 % central de los datos se concentra en un único valor.</t>
  </si>
  <si>
    <t xml:space="preserve">Asimetría (media − mediana)</t>
  </si>
  <si>
    <t xml:space="preserve">Media - Mediana</t>
  </si>
  <si>
    <t xml:space="preserve">Media &gt; mediana: distribución asimétrica positiva, con cola hacia la derecha.</t>
  </si>
  <si>
    <t xml:space="preserve">Conclusión estadística</t>
  </si>
  <si>
    <t xml:space="preserve">La distribución de víctimas por siniestro es fuertemente asimétrica positiva: media 1,14 frente a mediana 1, con el 89,7 % de los casos en un único valor. En términos de política pública esto significa que el problema no son los eventos multitudinarios sino la altísima frecuencia de siniestros individuales: 65.818 hechos en siete años, unos 26 por día.</t>
  </si>
  <si>
    <t xml:space="preserve">Medida — hora del siniestro</t>
  </si>
  <si>
    <t xml:space="preserve">Media de la hora</t>
  </si>
  <si>
    <t xml:space="preserve">La “hora central” de los siniestros es alrededor de las 13 hs.</t>
  </si>
  <si>
    <t xml:space="preserve">Hora modal (mayor frecuencia)</t>
  </si>
  <si>
    <t xml:space="preserve">La hora con más siniestros es las 17 hs (4.748 casos).</t>
  </si>
  <si>
    <t xml:space="preserve">Hora con menos siniestros</t>
  </si>
  <si>
    <t xml:space="preserve">La hora más tranquila son las 4 de la madrugada (454 casos).</t>
  </si>
  <si>
    <t xml:space="preserve">Desvío estándar de la hora</t>
  </si>
  <si>
    <t xml:space="preserve">Los siniestros se reparten a lo largo del día con una dispersión de ±5,7 horas.</t>
  </si>
  <si>
    <t xml:space="preserve">Tabla cruzada · Día de la semana × franja horaria</t>
  </si>
  <si>
    <t xml:space="preserve">Equivalente a una tabla dinámica: conteo de siniestros. La franja “Madrugada y mañana” agrupa 0-11 hs.</t>
  </si>
  <si>
    <t xml:space="preserve">Franja horaria</t>
  </si>
  <si>
    <t xml:space="preserve">Total</t>
  </si>
  <si>
    <t xml:space="preserve">% del total</t>
  </si>
  <si>
    <t xml:space="preserve">Madrugada y mañana (0-11 hs)</t>
  </si>
  <si>
    <t xml:space="preserve">% del total semanal</t>
  </si>
  <si>
    <t xml:space="preserve">Celda de mayor riesgo: viernes por la tarde, con 4.672 siniestros (7,1 % de todo el período). Los cinco días hábiles en la franja de la tarde concentran el 33,4 % de los siniestros.</t>
  </si>
  <si>
    <t xml:space="preserve">El domingo es el día con menos siniestros (8,9 %), pero su letalidad es de 14,0 muertes cada 1.000, contra 8,7 del viernes.</t>
  </si>
  <si>
    <t xml:space="preserve">Análisis temporal</t>
  </si>
  <si>
    <t xml:space="preserve">Serie anual y mensual. Responde la pregunta 3: ¿la situación mejora, empeora o está estable?</t>
  </si>
  <si>
    <t xml:space="preserve">Variación % anual</t>
  </si>
  <si>
    <t xml:space="preserve">Víctimas mortales</t>
  </si>
  <si>
    <t xml:space="preserve">Var. % mortales</t>
  </si>
  <si>
    <t xml:space="preserve">Letalidad (muertes/1.000)</t>
  </si>
  <si>
    <t xml:space="preserve">Indicador de tendencia</t>
  </si>
  <si>
    <t xml:space="preserve">Valor</t>
  </si>
  <si>
    <t xml:space="preserve">Lectura</t>
  </si>
  <si>
    <t xml:space="preserve">Pendiente de la recta (siniestros/año)</t>
  </si>
  <si>
    <t xml:space="preserve">Cada año se suman en promedio 568 siniestros más.</t>
  </si>
  <si>
    <t xml:space="preserve">Ordenada al origen</t>
  </si>
  <si>
    <t xml:space="preserve">R² de la tendencia lineal</t>
  </si>
  <si>
    <t xml:space="preserve">0,42: la tendencia lineal explica menos de la mitad de la variación, por el corte del ASPO 2020.</t>
  </si>
  <si>
    <t xml:space="preserve">Variación 2019 → 2025 (siniestros)</t>
  </si>
  <si>
    <t xml:space="preserve">Los siniestros crecieron un 15,7 % respecto de 2019.</t>
  </si>
  <si>
    <t xml:space="preserve">Variación 2021 → 2025 (post-pandemia)</t>
  </si>
  <si>
    <t xml:space="preserve">Desde la salida de la pandemia el crecimiento es del 50,3 %.</t>
  </si>
  <si>
    <t xml:space="preserve">Variación 2019 → 2025 (muertes)</t>
  </si>
  <si>
    <t xml:space="preserve">Las víctimas mortales bajaron un 12,5 %.</t>
  </si>
  <si>
    <t xml:space="preserve">R² de la tendencia de muertes</t>
  </si>
  <si>
    <t xml:space="preserve">0,05: no hay tendencia lineal en las muertes; el indicador es estable con oscilaciones.</t>
  </si>
  <si>
    <t xml:space="preserve">Respuesta a la pregunta 3: la situación empeora en frecuencia y mejora en gravedad. Hay más siniestros que nunca en el período (11.752 en 2025, el máximo de la serie), pero las muertes son las segundas más bajas (91) y la letalidad cayó de 10,2 a 7,7 muertes cada 1.000 siniestros.</t>
  </si>
  <si>
    <t xml:space="preserve">Estacionalidad: octubre (9,4 %) y diciembre (9,1 %) son los meses con más siniestros; enero y febrero los que menos (7,0 % y 7,1 %), coherente con el receso estival y la menor circulación en la Ciudad. Diciembre concentra además el mayor número de muertes (73).</t>
  </si>
  <si>
    <t xml:space="preserve">Los 5 hallazgos principales</t>
  </si>
  <si>
    <t xml:space="preserve">Tabla síntesis que alimenta el informe y la presentación ejecutiva.</t>
  </si>
  <si>
    <t xml:space="preserve">#</t>
  </si>
  <si>
    <t xml:space="preserve">Pregunta de negocio</t>
  </si>
  <si>
    <t xml:space="preserve">Hallazgo cuantificado</t>
  </si>
  <si>
    <t xml:space="preserve">Evidencia estadística</t>
  </si>
  <si>
    <t xml:space="preserve">¿Cuándo ocurren más siniestros?</t>
  </si>
  <si>
    <t xml:space="preserve">La tarde (12-17 hs) concentra el 40,2 % de los siniestros y el viernes es el día más crítico (16,9 %). La celda de mayor riesgo es viernes por la tarde: 4.672 hechos, el 7,1 % del total.</t>
  </si>
  <si>
    <t xml:space="preserve">Tabla cruzada día × franja horaria; tabla de frecuencias por franja.</t>
  </si>
  <si>
    <t xml:space="preserve">¿Cuándo son más graves?</t>
  </si>
  <si>
    <t xml:space="preserve">La madrugada (0-5 hs) reúne solo el 8,0 % de los siniestros pero 26,3 muertes cada 1.000, frente a 7,6 en la tarde: 3,5 veces más letal.</t>
  </si>
  <si>
    <t xml:space="preserve">Frecuencias por franja cruzadas con gravedad.</t>
  </si>
  <si>
    <t xml:space="preserve">¿Qué usuarios concentran las víctimas?</t>
  </si>
  <si>
    <t xml:space="preserve">Los usuarios vulnerables —moto, peatón y bicicleta— son el 62,4 % de los siniestros y el 87,5 % de las muertes. Las motos solas explican el 37,3 % de los hechos y el 41,0 % de los fallecidos; los peatones tienen la mayor letalidad (29,0 cada 1.000).</t>
  </si>
  <si>
    <t xml:space="preserve">Tabla de frecuencias por modo de desplazamiento y letalidad.</t>
  </si>
  <si>
    <t xml:space="preserve">¿Qué vías concentran el riesgo?</t>
  </si>
  <si>
    <t xml:space="preserve">Las avenidas concentran el 46,4 % de los siniestros y el 60,6 % de las muertes. Las autopistas, con el 1,6 % de los hechos, tienen la letalidad más alta: 68,2 muertes cada 1.000, 8,5 veces la de las calles.</t>
  </si>
  <si>
    <t xml:space="preserve">Tabla de frecuencias por tipo de vía.</t>
  </si>
  <si>
    <t xml:space="preserve">¿La situación mejora o empeora?</t>
  </si>
  <si>
    <t xml:space="preserve">Empeora en frecuencia y mejora en gravedad: los siniestros crecieron 15,7 % entre 2019 y 2025 (+50,3 % desde 2021) mientras las muertes bajaron 12,5 % y la letalidad pasó de 10,2 a 7,7 cada 1.000.</t>
  </si>
  <si>
    <t xml:space="preserve">Serie anual 2019-2025 con tendencia lineal (pendiente +568/año, R²=0,42).</t>
  </si>
  <si>
    <t xml:space="preserve">Gráficos estadísticos</t>
  </si>
  <si>
    <t xml:space="preserve">Cada gráfico se eligió según el tipo de variable: barras para cualitativas, histograma para la cuantitativa discreta, líneas para la serie temporal y torta para la gravedad.</t>
  </si>
  <si>
    <t xml:space="preserve">Gráficos adicionales del informe (generados a partir de las mismas tablas):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</si>
</sst>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000"/>
    <numFmt numFmtId="167" formatCode="0.0%"/>
    <numFmt numFmtId="168" formatCode="0.00"/>
    <numFmt numFmtId="169" formatCode="0.0"/>
    <numFmt numFmtId="170" formatCode="0.00%"/>
    <numFmt numFmtId="171" formatCode="0.000"/>
    <numFmt numFmtId="172" formatCode="0"/>
    <numFmt numFmtId="173" formatCode="0.0\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B2B2B"/>
      <name val="Arial"/>
      <family val="0"/>
      <charset val="1"/>
    </font>
    <font>
      <sz val="10"/>
      <color rgb="FF6B6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1440E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5"/>
      <color rgb="FF2B2B2B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1440E"/>
      <name val="Arial"/>
      <family val="0"/>
      <charset val="1"/>
    </font>
    <font>
      <b val="true"/>
      <sz val="11"/>
      <color rgb="FFC1440E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2B2B2B"/>
      <name val="Arial"/>
      <family val="0"/>
      <charset val="1"/>
    </font>
    <font>
      <i val="true"/>
      <sz val="8"/>
      <color rgb="FF6B6B6B"/>
      <name val="Arial"/>
      <family val="0"/>
      <charset val="1"/>
    </font>
    <font>
      <sz val="9"/>
      <color rgb="FF6B6B6B"/>
      <name val="Arial"/>
      <family val="0"/>
      <charset val="1"/>
    </font>
    <font>
      <b val="true"/>
      <sz val="10"/>
      <color rgb="FF2B2B2B"/>
      <name val="Arial"/>
      <family val="0"/>
      <charset val="1"/>
    </font>
    <font>
      <b val="true"/>
      <sz val="12"/>
      <color rgb="FFC1440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B2B2B"/>
        <bgColor rgb="FF333300"/>
      </patternFill>
    </fill>
    <fill>
      <patternFill patternType="solid">
        <fgColor rgb="FFC1440E"/>
        <bgColor rgb="FFC0504D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E8871A"/>
      <rgbColor rgb="FFFF6600"/>
      <rgbColor rgb="FF6B6B6B"/>
      <rgbColor rgb="FF969696"/>
      <rgbColor rgb="FF003366"/>
      <rgbColor rgb="FF339966"/>
      <rgbColor rgb="FF003300"/>
      <rgbColor rgb="FF333300"/>
      <rgbColor rgb="FFC1440E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Siniestros por modo de desplazamiento de la víctima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base_agregada!O13</c:f>
              <c:strCache>
                <c:ptCount val="1"/>
                <c:pt idx="0">
                  <c:v>Siniestros</c:v>
                </c:pt>
              </c:strCache>
            </c:strRef>
          </c:tx>
          <c:spPr>
            <a:solidFill>
              <a:srgbClr val="c144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base_agregada!$N$14:$N$26</c:f>
              <c:strCache>
                <c:ptCount val="13"/>
                <c:pt idx="0">
                  <c:v>Moto</c:v>
                </c:pt>
                <c:pt idx="1">
                  <c:v>No informado</c:v>
                </c:pt>
                <c:pt idx="2">
                  <c:v>Peatón</c:v>
                </c:pt>
                <c:pt idx="3">
                  <c:v>Bicicleta</c:v>
                </c:pt>
                <c:pt idx="4">
                  <c:v>Auto</c:v>
                </c:pt>
                <c:pt idx="5">
                  <c:v>Transporte público</c:v>
                </c:pt>
                <c:pt idx="6">
                  <c:v>Taxi</c:v>
                </c:pt>
                <c:pt idx="7">
                  <c:v>Utilitario</c:v>
                </c:pt>
                <c:pt idx="8">
                  <c:v>Móvil</c:v>
                </c:pt>
                <c:pt idx="9">
                  <c:v>Mixto</c:v>
                </c:pt>
                <c:pt idx="10">
                  <c:v>Camión</c:v>
                </c:pt>
                <c:pt idx="11">
                  <c:v>Monopatín</c:v>
                </c:pt>
                <c:pt idx="12">
                  <c:v>Otro</c:v>
                </c:pt>
              </c:strCache>
            </c:strRef>
          </c:cat>
          <c:val>
            <c:numRef>
              <c:f>base_agregada!$O$14:$O$26</c:f>
              <c:numCache>
                <c:formatCode>#,##0</c:formatCode>
                <c:ptCount val="13"/>
                <c:pt idx="0">
                  <c:v>24555</c:v>
                </c:pt>
                <c:pt idx="1">
                  <c:v>10929</c:v>
                </c:pt>
                <c:pt idx="2">
                  <c:v>9415</c:v>
                </c:pt>
                <c:pt idx="3">
                  <c:v>7091</c:v>
                </c:pt>
                <c:pt idx="4">
                  <c:v>7073</c:v>
                </c:pt>
                <c:pt idx="5">
                  <c:v>3633</c:v>
                </c:pt>
                <c:pt idx="6">
                  <c:v>810</c:v>
                </c:pt>
                <c:pt idx="7">
                  <c:v>697</c:v>
                </c:pt>
                <c:pt idx="8">
                  <c:v>531</c:v>
                </c:pt>
                <c:pt idx="9">
                  <c:v>498</c:v>
                </c:pt>
                <c:pt idx="10">
                  <c:v>250</c:v>
                </c:pt>
                <c:pt idx="11">
                  <c:v>207</c:v>
                </c:pt>
                <c:pt idx="12">
                  <c:v>129</c:v>
                </c:pt>
              </c:numCache>
            </c:numRef>
          </c:val>
        </c:ser>
        <c:gapWidth val="55"/>
        <c:overlap val="0"/>
        <c:axId val="22636703"/>
        <c:axId val="30329381"/>
      </c:barChart>
      <c:catAx>
        <c:axId val="2263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329381"/>
        <c:crosses val="autoZero"/>
        <c:auto val="1"/>
        <c:lblAlgn val="ctr"/>
        <c:lblOffset val="100"/>
        <c:noMultiLvlLbl val="0"/>
      </c:catAx>
      <c:valAx>
        <c:axId val="303293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367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Siniestros por comuna (barras horizontales)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base_agregada!O30</c:f>
              <c:strCache>
                <c:ptCount val="1"/>
                <c:pt idx="0">
                  <c:v>Siniestros</c:v>
                </c:pt>
              </c:strCache>
            </c:strRef>
          </c:tx>
          <c:spPr>
            <a:solidFill>
              <a:srgbClr val="e8871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base_agregada!$N$31:$N$46</c:f>
              <c:strCache>
                <c:ptCount val="16"/>
                <c:pt idx="0">
                  <c:v>Comuna 1</c:v>
                </c:pt>
                <c:pt idx="1">
                  <c:v>Comuna 15</c:v>
                </c:pt>
                <c:pt idx="2">
                  <c:v>Comuna 3</c:v>
                </c:pt>
                <c:pt idx="3">
                  <c:v>Comuna 4</c:v>
                </c:pt>
                <c:pt idx="4">
                  <c:v>Comuna 14</c:v>
                </c:pt>
                <c:pt idx="5">
                  <c:v>Comuna 9</c:v>
                </c:pt>
                <c:pt idx="6">
                  <c:v>Comuna 7</c:v>
                </c:pt>
                <c:pt idx="7">
                  <c:v>Comuna 12</c:v>
                </c:pt>
                <c:pt idx="8">
                  <c:v>Comuna 13</c:v>
                </c:pt>
                <c:pt idx="9">
                  <c:v>Comuna 10</c:v>
                </c:pt>
                <c:pt idx="10">
                  <c:v>No informado</c:v>
                </c:pt>
                <c:pt idx="11">
                  <c:v>Comuna 11</c:v>
                </c:pt>
                <c:pt idx="12">
                  <c:v>Comuna 5</c:v>
                </c:pt>
                <c:pt idx="13">
                  <c:v>Comuna 8</c:v>
                </c:pt>
                <c:pt idx="14">
                  <c:v>Comuna 6</c:v>
                </c:pt>
                <c:pt idx="15">
                  <c:v>Comuna 2</c:v>
                </c:pt>
              </c:strCache>
            </c:strRef>
          </c:cat>
          <c:val>
            <c:numRef>
              <c:f>base_agregada!$O$31:$O$46</c:f>
              <c:numCache>
                <c:formatCode>#,##0</c:formatCode>
                <c:ptCount val="16"/>
                <c:pt idx="0">
                  <c:v>7241</c:v>
                </c:pt>
                <c:pt idx="1">
                  <c:v>5214</c:v>
                </c:pt>
                <c:pt idx="2">
                  <c:v>4858</c:v>
                </c:pt>
                <c:pt idx="3">
                  <c:v>4562</c:v>
                </c:pt>
                <c:pt idx="4">
                  <c:v>4496</c:v>
                </c:pt>
                <c:pt idx="5">
                  <c:v>4450</c:v>
                </c:pt>
                <c:pt idx="6">
                  <c:v>4368</c:v>
                </c:pt>
                <c:pt idx="7">
                  <c:v>4310</c:v>
                </c:pt>
                <c:pt idx="8">
                  <c:v>3965</c:v>
                </c:pt>
                <c:pt idx="9">
                  <c:v>3776</c:v>
                </c:pt>
                <c:pt idx="10">
                  <c:v>3552</c:v>
                </c:pt>
                <c:pt idx="11">
                  <c:v>3531</c:v>
                </c:pt>
                <c:pt idx="12">
                  <c:v>3285</c:v>
                </c:pt>
                <c:pt idx="13">
                  <c:v>3088</c:v>
                </c:pt>
                <c:pt idx="14">
                  <c:v>2772</c:v>
                </c:pt>
                <c:pt idx="15">
                  <c:v>2350</c:v>
                </c:pt>
              </c:numCache>
            </c:numRef>
          </c:val>
        </c:ser>
        <c:gapWidth val="50"/>
        <c:overlap val="0"/>
        <c:axId val="99497978"/>
        <c:axId val="96738383"/>
      </c:barChart>
      <c:catAx>
        <c:axId val="994979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738383"/>
        <c:crosses val="autoZero"/>
        <c:auto val="1"/>
        <c:lblAlgn val="ctr"/>
        <c:lblOffset val="100"/>
        <c:noMultiLvlLbl val="0"/>
      </c:catAx>
      <c:valAx>
        <c:axId val="967383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979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Histograma: distribución de víctimas por siniestro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base_agregada!U11</c:f>
              <c:strCache>
                <c:ptCount val="1"/>
                <c:pt idx="0">
                  <c:v>Siniestros</c:v>
                </c:pt>
              </c:strCache>
            </c:strRef>
          </c:tx>
          <c:spPr>
            <a:solidFill>
              <a:srgbClr val="c144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base_agregada!$T$12:$T$21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 o más</c:v>
                </c:pt>
              </c:strCache>
            </c:strRef>
          </c:cat>
          <c:val>
            <c:numRef>
              <c:f>base_agregada!$U$12:$U$21</c:f>
              <c:numCache>
                <c:formatCode>#,##0</c:formatCode>
                <c:ptCount val="10"/>
                <c:pt idx="0">
                  <c:v>59052</c:v>
                </c:pt>
                <c:pt idx="1">
                  <c:v>5295</c:v>
                </c:pt>
                <c:pt idx="2">
                  <c:v>911</c:v>
                </c:pt>
                <c:pt idx="3">
                  <c:v>304</c:v>
                </c:pt>
                <c:pt idx="4">
                  <c:v>134</c:v>
                </c:pt>
                <c:pt idx="5">
                  <c:v>61</c:v>
                </c:pt>
                <c:pt idx="6">
                  <c:v>23</c:v>
                </c:pt>
                <c:pt idx="7">
                  <c:v>19</c:v>
                </c:pt>
                <c:pt idx="8">
                  <c:v>3</c:v>
                </c:pt>
                <c:pt idx="9">
                  <c:v>16</c:v>
                </c:pt>
              </c:numCache>
            </c:numRef>
          </c:val>
        </c:ser>
        <c:gapWidth val="0"/>
        <c:overlap val="0"/>
        <c:axId val="70770011"/>
        <c:axId val="9370711"/>
      </c:barChart>
      <c:catAx>
        <c:axId val="707700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Víctimas en el siniestro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70711"/>
        <c:crosses val="autoZero"/>
        <c:auto val="1"/>
        <c:lblAlgn val="ctr"/>
        <c:lblOffset val="100"/>
        <c:noMultiLvlLbl val="0"/>
      </c:catAx>
      <c:valAx>
        <c:axId val="93707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Siniestros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700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Evolución anual de siniestros con línea de tendencia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base_agregada!B5</c:f>
              <c:strCache>
                <c:ptCount val="1"/>
                <c:pt idx="0">
                  <c:v>Siniestros</c:v>
                </c:pt>
              </c:strCache>
            </c:strRef>
          </c:tx>
          <c:spPr>
            <a:solidFill>
              <a:srgbClr val="c1440e"/>
            </a:solidFill>
            <a:ln w="28080">
              <a:solidFill>
                <a:srgbClr val="c144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cat>
            <c:strRef>
              <c:f>base_agregada!$A$6:$A$12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base_agregada!$B$6:$B$12</c:f>
              <c:numCache>
                <c:formatCode>#,##0</c:formatCode>
                <c:ptCount val="7"/>
                <c:pt idx="0">
                  <c:v>10155</c:v>
                </c:pt>
                <c:pt idx="1">
                  <c:v>6061</c:v>
                </c:pt>
                <c:pt idx="2">
                  <c:v>7818</c:v>
                </c:pt>
                <c:pt idx="3">
                  <c:v>9536</c:v>
                </c:pt>
                <c:pt idx="4">
                  <c:v>9927</c:v>
                </c:pt>
                <c:pt idx="5">
                  <c:v>10569</c:v>
                </c:pt>
                <c:pt idx="6">
                  <c:v>11752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676832"/>
        <c:axId val="1324236"/>
      </c:lineChart>
      <c:catAx>
        <c:axId val="6767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24236"/>
        <c:crosses val="autoZero"/>
        <c:auto val="1"/>
        <c:lblAlgn val="ctr"/>
        <c:lblOffset val="100"/>
        <c:noMultiLvlLbl val="0"/>
      </c:catAx>
      <c:valAx>
        <c:axId val="13242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6768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Siniestros según gravedad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base_agregada!U5</c:f>
              <c:strCache>
                <c:ptCount val="1"/>
                <c:pt idx="0">
                  <c:v>Siniestros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base_agregada!$T$6:$T$8</c:f>
              <c:strCache>
                <c:ptCount val="3"/>
                <c:pt idx="0">
                  <c:v>Leve</c:v>
                </c:pt>
                <c:pt idx="1">
                  <c:v>Grave</c:v>
                </c:pt>
                <c:pt idx="2">
                  <c:v>Mortal</c:v>
                </c:pt>
              </c:strCache>
            </c:strRef>
          </c:cat>
          <c:val>
            <c:numRef>
              <c:f>base_agregada!$U$6:$U$8</c:f>
              <c:numCache>
                <c:formatCode>#,##0</c:formatCode>
                <c:ptCount val="3"/>
                <c:pt idx="0">
                  <c:v>62174</c:v>
                </c:pt>
                <c:pt idx="1">
                  <c:v>2955</c:v>
                </c:pt>
                <c:pt idx="2">
                  <c:v>689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Serie mensual de siniestros (ene-2019 a dic-2025)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base_agregada!AA5</c:f>
              <c:strCache>
                <c:ptCount val="1"/>
                <c:pt idx="0">
                  <c:v>Siniestros</c:v>
                </c:pt>
              </c:strCache>
            </c:strRef>
          </c:tx>
          <c:spPr>
            <a:solidFill>
              <a:srgbClr val="e8871a"/>
            </a:solidFill>
            <a:ln w="28440">
              <a:solidFill>
                <a:srgbClr val="e8871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base_agregada!$Z$6:$Z$89</c:f>
              <c:strCache>
                <c:ptCount val="84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  <c:pt idx="25">
                  <c:v>2021-02</c:v>
                </c:pt>
                <c:pt idx="26">
                  <c:v>2021-03</c:v>
                </c:pt>
                <c:pt idx="27">
                  <c:v>2021-04</c:v>
                </c:pt>
                <c:pt idx="28">
                  <c:v>2021-05</c:v>
                </c:pt>
                <c:pt idx="29">
                  <c:v>2021-06</c:v>
                </c:pt>
                <c:pt idx="30">
                  <c:v>2021-07</c:v>
                </c:pt>
                <c:pt idx="31">
                  <c:v>2021-08</c:v>
                </c:pt>
                <c:pt idx="32">
                  <c:v>2021-09</c:v>
                </c:pt>
                <c:pt idx="33">
                  <c:v>2021-10</c:v>
                </c:pt>
                <c:pt idx="34">
                  <c:v>2021-11</c:v>
                </c:pt>
                <c:pt idx="35">
                  <c:v>2021-12</c:v>
                </c:pt>
                <c:pt idx="36">
                  <c:v>2022-01</c:v>
                </c:pt>
                <c:pt idx="37">
                  <c:v>2022-02</c:v>
                </c:pt>
                <c:pt idx="38">
                  <c:v>2022-03</c:v>
                </c:pt>
                <c:pt idx="39">
                  <c:v>2022-04</c:v>
                </c:pt>
                <c:pt idx="40">
                  <c:v>2022-05</c:v>
                </c:pt>
                <c:pt idx="41">
                  <c:v>2022-06</c:v>
                </c:pt>
                <c:pt idx="42">
                  <c:v>2022-07</c:v>
                </c:pt>
                <c:pt idx="43">
                  <c:v>2022-08</c:v>
                </c:pt>
                <c:pt idx="44">
                  <c:v>2022-09</c:v>
                </c:pt>
                <c:pt idx="45">
                  <c:v>2022-10</c:v>
                </c:pt>
                <c:pt idx="46">
                  <c:v>2022-11</c:v>
                </c:pt>
                <c:pt idx="47">
                  <c:v>2022-12</c:v>
                </c:pt>
                <c:pt idx="48">
                  <c:v>2023-01</c:v>
                </c:pt>
                <c:pt idx="49">
                  <c:v>2023-02</c:v>
                </c:pt>
                <c:pt idx="50">
                  <c:v>2023-03</c:v>
                </c:pt>
                <c:pt idx="51">
                  <c:v>2023-04</c:v>
                </c:pt>
                <c:pt idx="52">
                  <c:v>2023-05</c:v>
                </c:pt>
                <c:pt idx="53">
                  <c:v>2023-06</c:v>
                </c:pt>
                <c:pt idx="54">
                  <c:v>2023-07</c:v>
                </c:pt>
                <c:pt idx="55">
                  <c:v>2023-08</c:v>
                </c:pt>
                <c:pt idx="56">
                  <c:v>2023-09</c:v>
                </c:pt>
                <c:pt idx="57">
                  <c:v>2023-10</c:v>
                </c:pt>
                <c:pt idx="58">
                  <c:v>2023-11</c:v>
                </c:pt>
                <c:pt idx="59">
                  <c:v>2023-12</c:v>
                </c:pt>
                <c:pt idx="60">
                  <c:v>2024-01</c:v>
                </c:pt>
                <c:pt idx="61">
                  <c:v>2024-02</c:v>
                </c:pt>
                <c:pt idx="62">
                  <c:v>2024-03</c:v>
                </c:pt>
                <c:pt idx="63">
                  <c:v>2024-04</c:v>
                </c:pt>
                <c:pt idx="64">
                  <c:v>2024-05</c:v>
                </c:pt>
                <c:pt idx="65">
                  <c:v>2024-06</c:v>
                </c:pt>
                <c:pt idx="66">
                  <c:v>2024-07</c:v>
                </c:pt>
                <c:pt idx="67">
                  <c:v>2024-08</c:v>
                </c:pt>
                <c:pt idx="68">
                  <c:v>2024-09</c:v>
                </c:pt>
                <c:pt idx="69">
                  <c:v>2024-10</c:v>
                </c:pt>
                <c:pt idx="70">
                  <c:v>2024-11</c:v>
                </c:pt>
                <c:pt idx="71">
                  <c:v>2024-12</c:v>
                </c:pt>
                <c:pt idx="72">
                  <c:v>2025-01</c:v>
                </c:pt>
                <c:pt idx="73">
                  <c:v>2025-02</c:v>
                </c:pt>
                <c:pt idx="74">
                  <c:v>2025-03</c:v>
                </c:pt>
                <c:pt idx="75">
                  <c:v>2025-04</c:v>
                </c:pt>
                <c:pt idx="76">
                  <c:v>2025-05</c:v>
                </c:pt>
                <c:pt idx="77">
                  <c:v>2025-06</c:v>
                </c:pt>
                <c:pt idx="78">
                  <c:v>2025-07</c:v>
                </c:pt>
                <c:pt idx="79">
                  <c:v>2025-08</c:v>
                </c:pt>
                <c:pt idx="80">
                  <c:v>2025-09</c:v>
                </c:pt>
                <c:pt idx="81">
                  <c:v>2025-10</c:v>
                </c:pt>
                <c:pt idx="82">
                  <c:v>2025-11</c:v>
                </c:pt>
                <c:pt idx="83">
                  <c:v>2025-12</c:v>
                </c:pt>
              </c:strCache>
            </c:strRef>
          </c:cat>
          <c:val>
            <c:numRef>
              <c:f>base_agregada!$AA$6:$AA$89</c:f>
              <c:numCache>
                <c:formatCode>#,##0</c:formatCode>
                <c:ptCount val="84"/>
                <c:pt idx="0">
                  <c:v>750</c:v>
                </c:pt>
                <c:pt idx="1">
                  <c:v>801</c:v>
                </c:pt>
                <c:pt idx="2">
                  <c:v>960</c:v>
                </c:pt>
                <c:pt idx="3">
                  <c:v>967</c:v>
                </c:pt>
                <c:pt idx="4">
                  <c:v>1049</c:v>
                </c:pt>
                <c:pt idx="5">
                  <c:v>896</c:v>
                </c:pt>
                <c:pt idx="6">
                  <c:v>937</c:v>
                </c:pt>
                <c:pt idx="7">
                  <c:v>912</c:v>
                </c:pt>
                <c:pt idx="8">
                  <c:v>895</c:v>
                </c:pt>
                <c:pt idx="9">
                  <c:v>891</c:v>
                </c:pt>
                <c:pt idx="10">
                  <c:v>555</c:v>
                </c:pt>
                <c:pt idx="11">
                  <c:v>542</c:v>
                </c:pt>
                <c:pt idx="12">
                  <c:v>679</c:v>
                </c:pt>
                <c:pt idx="13">
                  <c:v>728</c:v>
                </c:pt>
                <c:pt idx="14">
                  <c:v>493</c:v>
                </c:pt>
                <c:pt idx="15">
                  <c:v>194</c:v>
                </c:pt>
                <c:pt idx="16">
                  <c:v>328</c:v>
                </c:pt>
                <c:pt idx="17">
                  <c:v>325</c:v>
                </c:pt>
                <c:pt idx="18">
                  <c:v>359</c:v>
                </c:pt>
                <c:pt idx="19">
                  <c:v>442</c:v>
                </c:pt>
                <c:pt idx="20">
                  <c:v>497</c:v>
                </c:pt>
                <c:pt idx="21">
                  <c:v>585</c:v>
                </c:pt>
                <c:pt idx="22">
                  <c:v>690</c:v>
                </c:pt>
                <c:pt idx="23">
                  <c:v>741</c:v>
                </c:pt>
                <c:pt idx="24">
                  <c:v>534</c:v>
                </c:pt>
                <c:pt idx="25">
                  <c:v>484</c:v>
                </c:pt>
                <c:pt idx="26">
                  <c:v>719</c:v>
                </c:pt>
                <c:pt idx="27">
                  <c:v>609</c:v>
                </c:pt>
                <c:pt idx="28">
                  <c:v>301</c:v>
                </c:pt>
                <c:pt idx="29">
                  <c:v>674</c:v>
                </c:pt>
                <c:pt idx="30">
                  <c:v>701</c:v>
                </c:pt>
                <c:pt idx="31">
                  <c:v>807</c:v>
                </c:pt>
                <c:pt idx="32">
                  <c:v>661</c:v>
                </c:pt>
                <c:pt idx="33">
                  <c:v>833</c:v>
                </c:pt>
                <c:pt idx="34">
                  <c:v>660</c:v>
                </c:pt>
                <c:pt idx="35">
                  <c:v>835</c:v>
                </c:pt>
                <c:pt idx="36">
                  <c:v>563</c:v>
                </c:pt>
                <c:pt idx="37">
                  <c:v>628</c:v>
                </c:pt>
                <c:pt idx="38">
                  <c:v>867</c:v>
                </c:pt>
                <c:pt idx="39">
                  <c:v>852</c:v>
                </c:pt>
                <c:pt idx="40">
                  <c:v>827</c:v>
                </c:pt>
                <c:pt idx="41">
                  <c:v>833</c:v>
                </c:pt>
                <c:pt idx="42">
                  <c:v>762</c:v>
                </c:pt>
                <c:pt idx="43">
                  <c:v>828</c:v>
                </c:pt>
                <c:pt idx="44">
                  <c:v>904</c:v>
                </c:pt>
                <c:pt idx="45">
                  <c:v>847</c:v>
                </c:pt>
                <c:pt idx="46">
                  <c:v>831</c:v>
                </c:pt>
                <c:pt idx="47">
                  <c:v>794</c:v>
                </c:pt>
                <c:pt idx="48">
                  <c:v>609</c:v>
                </c:pt>
                <c:pt idx="49">
                  <c:v>606</c:v>
                </c:pt>
                <c:pt idx="50">
                  <c:v>875</c:v>
                </c:pt>
                <c:pt idx="51">
                  <c:v>809</c:v>
                </c:pt>
                <c:pt idx="52">
                  <c:v>907</c:v>
                </c:pt>
                <c:pt idx="53">
                  <c:v>857</c:v>
                </c:pt>
                <c:pt idx="54">
                  <c:v>865</c:v>
                </c:pt>
                <c:pt idx="55">
                  <c:v>866</c:v>
                </c:pt>
                <c:pt idx="56">
                  <c:v>871</c:v>
                </c:pt>
                <c:pt idx="57">
                  <c:v>912</c:v>
                </c:pt>
                <c:pt idx="58">
                  <c:v>884</c:v>
                </c:pt>
                <c:pt idx="59">
                  <c:v>866</c:v>
                </c:pt>
                <c:pt idx="60">
                  <c:v>710</c:v>
                </c:pt>
                <c:pt idx="61">
                  <c:v>714</c:v>
                </c:pt>
                <c:pt idx="62">
                  <c:v>823</c:v>
                </c:pt>
                <c:pt idx="63">
                  <c:v>834</c:v>
                </c:pt>
                <c:pt idx="64">
                  <c:v>923</c:v>
                </c:pt>
                <c:pt idx="65">
                  <c:v>804</c:v>
                </c:pt>
                <c:pt idx="66">
                  <c:v>895</c:v>
                </c:pt>
                <c:pt idx="67">
                  <c:v>917</c:v>
                </c:pt>
                <c:pt idx="68">
                  <c:v>898</c:v>
                </c:pt>
                <c:pt idx="69">
                  <c:v>999</c:v>
                </c:pt>
                <c:pt idx="70">
                  <c:v>971</c:v>
                </c:pt>
                <c:pt idx="71">
                  <c:v>1081</c:v>
                </c:pt>
                <c:pt idx="72">
                  <c:v>782</c:v>
                </c:pt>
                <c:pt idx="73">
                  <c:v>740</c:v>
                </c:pt>
                <c:pt idx="74">
                  <c:v>915</c:v>
                </c:pt>
                <c:pt idx="75">
                  <c:v>998</c:v>
                </c:pt>
                <c:pt idx="76">
                  <c:v>990</c:v>
                </c:pt>
                <c:pt idx="77">
                  <c:v>977</c:v>
                </c:pt>
                <c:pt idx="78">
                  <c:v>1009</c:v>
                </c:pt>
                <c:pt idx="79">
                  <c:v>1021</c:v>
                </c:pt>
                <c:pt idx="80">
                  <c:v>957</c:v>
                </c:pt>
                <c:pt idx="81">
                  <c:v>1125</c:v>
                </c:pt>
                <c:pt idx="82">
                  <c:v>1099</c:v>
                </c:pt>
                <c:pt idx="83">
                  <c:v>1139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849091"/>
        <c:axId val="76305661"/>
      </c:lineChart>
      <c:catAx>
        <c:axId val="778490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305661"/>
        <c:crosses val="autoZero"/>
        <c:auto val="1"/>
        <c:lblAlgn val="ctr"/>
        <c:lblOffset val="100"/>
        <c:noMultiLvlLbl val="0"/>
      </c:catAx>
      <c:valAx>
        <c:axId val="763056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490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Siniestros por franja horaria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base_agregada!I34</c:f>
              <c:strCache>
                <c:ptCount val="1"/>
                <c:pt idx="0">
                  <c:v>Siniestros</c:v>
                </c:pt>
              </c:strCache>
            </c:strRef>
          </c:tx>
          <c:spPr>
            <a:solidFill>
              <a:srgbClr val="c144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base_agregada!$H$35:$H$39</c:f>
              <c:strCache>
                <c:ptCount val="5"/>
                <c:pt idx="0">
                  <c:v>Madrugada (0-5 hs)</c:v>
                </c:pt>
                <c:pt idx="1">
                  <c:v>Mañana (6-11 hs)</c:v>
                </c:pt>
                <c:pt idx="2">
                  <c:v>Tarde (12-17 hs)</c:v>
                </c:pt>
                <c:pt idx="3">
                  <c:v>Noche (18-23 hs)</c:v>
                </c:pt>
                <c:pt idx="4">
                  <c:v>No informado</c:v>
                </c:pt>
              </c:strCache>
            </c:strRef>
          </c:cat>
          <c:val>
            <c:numRef>
              <c:f>base_agregada!$I$35:$I$39</c:f>
              <c:numCache>
                <c:formatCode>#,##0</c:formatCode>
                <c:ptCount val="5"/>
                <c:pt idx="0">
                  <c:v>5257</c:v>
                </c:pt>
                <c:pt idx="1">
                  <c:v>16086</c:v>
                </c:pt>
                <c:pt idx="2">
                  <c:v>26474</c:v>
                </c:pt>
                <c:pt idx="3">
                  <c:v>17920</c:v>
                </c:pt>
                <c:pt idx="4">
                  <c:v>81</c:v>
                </c:pt>
              </c:numCache>
            </c:numRef>
          </c:val>
        </c:ser>
        <c:gapWidth val="55"/>
        <c:overlap val="0"/>
        <c:axId val="56912913"/>
        <c:axId val="78716696"/>
      </c:barChart>
      <c:catAx>
        <c:axId val="569129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716696"/>
        <c:crosses val="autoZero"/>
        <c:auto val="1"/>
        <c:lblAlgn val="ctr"/>
        <c:lblOffset val="100"/>
        <c:noMultiLvlLbl val="0"/>
      </c:catAx>
      <c:valAx>
        <c:axId val="787166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129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Siniestros por hora del día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base_agregada!I5</c:f>
              <c:strCache>
                <c:ptCount val="1"/>
                <c:pt idx="0">
                  <c:v>Siniestros</c:v>
                </c:pt>
              </c:strCache>
            </c:strRef>
          </c:tx>
          <c:spPr>
            <a:solidFill>
              <a:srgbClr val="e8871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base_agregada!$H$6:$H$29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base_agregada!$I$6:$I$29</c:f>
              <c:numCache>
                <c:formatCode>#,##0</c:formatCode>
                <c:ptCount val="24"/>
                <c:pt idx="0">
                  <c:v>1901</c:v>
                </c:pt>
                <c:pt idx="1">
                  <c:v>947</c:v>
                </c:pt>
                <c:pt idx="2">
                  <c:v>693</c:v>
                </c:pt>
                <c:pt idx="3">
                  <c:v>508</c:v>
                </c:pt>
                <c:pt idx="4">
                  <c:v>454</c:v>
                </c:pt>
                <c:pt idx="5">
                  <c:v>754</c:v>
                </c:pt>
                <c:pt idx="6">
                  <c:v>1317</c:v>
                </c:pt>
                <c:pt idx="7">
                  <c:v>2150</c:v>
                </c:pt>
                <c:pt idx="8">
                  <c:v>2960</c:v>
                </c:pt>
                <c:pt idx="9">
                  <c:v>3141</c:v>
                </c:pt>
                <c:pt idx="10">
                  <c:v>3134</c:v>
                </c:pt>
                <c:pt idx="11">
                  <c:v>3384</c:v>
                </c:pt>
                <c:pt idx="12">
                  <c:v>4116</c:v>
                </c:pt>
                <c:pt idx="13">
                  <c:v>4181</c:v>
                </c:pt>
                <c:pt idx="14">
                  <c:v>4458</c:v>
                </c:pt>
                <c:pt idx="15">
                  <c:v>4361</c:v>
                </c:pt>
                <c:pt idx="16">
                  <c:v>4610</c:v>
                </c:pt>
                <c:pt idx="17">
                  <c:v>4748</c:v>
                </c:pt>
                <c:pt idx="18">
                  <c:v>4421</c:v>
                </c:pt>
                <c:pt idx="19">
                  <c:v>3719</c:v>
                </c:pt>
                <c:pt idx="20">
                  <c:v>3231</c:v>
                </c:pt>
                <c:pt idx="21">
                  <c:v>2708</c:v>
                </c:pt>
                <c:pt idx="22">
                  <c:v>2224</c:v>
                </c:pt>
                <c:pt idx="23">
                  <c:v>1617</c:v>
                </c:pt>
              </c:numCache>
            </c:numRef>
          </c:val>
        </c:ser>
        <c:gapWidth val="10"/>
        <c:overlap val="0"/>
        <c:axId val="89397365"/>
        <c:axId val="1054146"/>
      </c:barChart>
      <c:catAx>
        <c:axId val="893973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4146"/>
        <c:crosses val="autoZero"/>
        <c:auto val="1"/>
        <c:lblAlgn val="ctr"/>
        <c:lblOffset val="100"/>
        <c:noMultiLvlLbl val="0"/>
      </c:catAx>
      <c:valAx>
        <c:axId val="10541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973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image" Target="../media/image1.png"/><Relationship Id="rId10" Type="http://schemas.openxmlformats.org/officeDocument/2006/relationships/image" Target="../media/image2.png"/><Relationship Id="rId1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145440</xdr:rowOff>
    </xdr:from>
    <xdr:to>
      <xdr:col>8</xdr:col>
      <xdr:colOff>507600</xdr:colOff>
      <xdr:row>16</xdr:row>
      <xdr:rowOff>178200</xdr:rowOff>
    </xdr:to>
    <xdr:graphicFrame>
      <xdr:nvGraphicFramePr>
        <xdr:cNvPr id="0" name="Chart 1"/>
        <xdr:cNvGraphicFramePr/>
      </xdr:nvGraphicFramePr>
      <xdr:xfrm>
        <a:off x="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</xdr:row>
      <xdr:rowOff>145440</xdr:rowOff>
    </xdr:from>
    <xdr:to>
      <xdr:col>19</xdr:col>
      <xdr:colOff>507600</xdr:colOff>
      <xdr:row>20</xdr:row>
      <xdr:rowOff>136080</xdr:rowOff>
    </xdr:to>
    <xdr:graphicFrame>
      <xdr:nvGraphicFramePr>
        <xdr:cNvPr id="1" name="Chart 2"/>
        <xdr:cNvGraphicFramePr/>
      </xdr:nvGraphicFramePr>
      <xdr:xfrm>
        <a:off x="6726600" y="571680"/>
        <a:ext cx="53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18</xdr:row>
      <xdr:rowOff>145440</xdr:rowOff>
    </xdr:from>
    <xdr:to>
      <xdr:col>8</xdr:col>
      <xdr:colOff>507600</xdr:colOff>
      <xdr:row>32</xdr:row>
      <xdr:rowOff>177840</xdr:rowOff>
    </xdr:to>
    <xdr:graphicFrame>
      <xdr:nvGraphicFramePr>
        <xdr:cNvPr id="2" name="Chart 3"/>
        <xdr:cNvGraphicFramePr/>
      </xdr:nvGraphicFramePr>
      <xdr:xfrm>
        <a:off x="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18</xdr:row>
      <xdr:rowOff>145440</xdr:rowOff>
    </xdr:from>
    <xdr:to>
      <xdr:col>19</xdr:col>
      <xdr:colOff>507600</xdr:colOff>
      <xdr:row>32</xdr:row>
      <xdr:rowOff>177840</xdr:rowOff>
    </xdr:to>
    <xdr:graphicFrame>
      <xdr:nvGraphicFramePr>
        <xdr:cNvPr id="3" name="Chart 4"/>
        <xdr:cNvGraphicFramePr/>
      </xdr:nvGraphicFramePr>
      <xdr:xfrm>
        <a:off x="672660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34</xdr:row>
      <xdr:rowOff>145440</xdr:rowOff>
    </xdr:from>
    <xdr:to>
      <xdr:col>6</xdr:col>
      <xdr:colOff>290520</xdr:colOff>
      <xdr:row>48</xdr:row>
      <xdr:rowOff>178200</xdr:rowOff>
    </xdr:to>
    <xdr:graphicFrame>
      <xdr:nvGraphicFramePr>
        <xdr:cNvPr id="4" name="Chart 5"/>
        <xdr:cNvGraphicFramePr/>
      </xdr:nvGraphicFramePr>
      <xdr:xfrm>
        <a:off x="0" y="666756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34</xdr:row>
      <xdr:rowOff>145440</xdr:rowOff>
    </xdr:from>
    <xdr:to>
      <xdr:col>17</xdr:col>
      <xdr:colOff>364320</xdr:colOff>
      <xdr:row>48</xdr:row>
      <xdr:rowOff>178200</xdr:rowOff>
    </xdr:to>
    <xdr:graphicFrame>
      <xdr:nvGraphicFramePr>
        <xdr:cNvPr id="5" name="Chart 6"/>
        <xdr:cNvGraphicFramePr/>
      </xdr:nvGraphicFramePr>
      <xdr:xfrm>
        <a:off x="4280400" y="666756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50</xdr:row>
      <xdr:rowOff>145440</xdr:rowOff>
    </xdr:from>
    <xdr:to>
      <xdr:col>7</xdr:col>
      <xdr:colOff>399240</xdr:colOff>
      <xdr:row>64</xdr:row>
      <xdr:rowOff>178200</xdr:rowOff>
    </xdr:to>
    <xdr:graphicFrame>
      <xdr:nvGraphicFramePr>
        <xdr:cNvPr id="6" name="Chart 7"/>
        <xdr:cNvGraphicFramePr/>
      </xdr:nvGraphicFramePr>
      <xdr:xfrm>
        <a:off x="0" y="97156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0</xdr:colOff>
      <xdr:row>50</xdr:row>
      <xdr:rowOff>145440</xdr:rowOff>
    </xdr:from>
    <xdr:to>
      <xdr:col>18</xdr:col>
      <xdr:colOff>256320</xdr:colOff>
      <xdr:row>64</xdr:row>
      <xdr:rowOff>178200</xdr:rowOff>
    </xdr:to>
    <xdr:graphicFrame>
      <xdr:nvGraphicFramePr>
        <xdr:cNvPr id="7" name="Chart 8"/>
        <xdr:cNvGraphicFramePr/>
      </xdr:nvGraphicFramePr>
      <xdr:xfrm>
        <a:off x="5503680" y="9715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68</xdr:row>
      <xdr:rowOff>145440</xdr:rowOff>
    </xdr:from>
    <xdr:to>
      <xdr:col>7</xdr:col>
      <xdr:colOff>389880</xdr:colOff>
      <xdr:row>81</xdr:row>
      <xdr:rowOff>21240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0" y="13144680"/>
          <a:ext cx="4670280" cy="2352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90</xdr:row>
      <xdr:rowOff>145440</xdr:rowOff>
    </xdr:from>
    <xdr:to>
      <xdr:col>7</xdr:col>
      <xdr:colOff>221400</xdr:colOff>
      <xdr:row>100</xdr:row>
      <xdr:rowOff>136800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0" y="17335440"/>
          <a:ext cx="4501800" cy="1896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110</xdr:row>
      <xdr:rowOff>145440</xdr:rowOff>
    </xdr:from>
    <xdr:to>
      <xdr:col>8</xdr:col>
      <xdr:colOff>318240</xdr:colOff>
      <xdr:row>124</xdr:row>
      <xdr:rowOff>33840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0" y="21145680"/>
          <a:ext cx="5210280" cy="2555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86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  <c r="C6" s="3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1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4" t="s">
        <v>9</v>
      </c>
      <c r="C9" s="5" t="s">
        <v>10</v>
      </c>
    </row>
    <row r="10" customFormat="false" ht="15" hidden="false" customHeight="false" outlineLevel="0" collapsed="false">
      <c r="B10" s="4" t="s">
        <v>11</v>
      </c>
      <c r="C10" s="5" t="s">
        <v>12</v>
      </c>
    </row>
    <row r="11" customFormat="false" ht="15" hidden="false" customHeight="false" outlineLevel="0" collapsed="false">
      <c r="B11" s="4" t="s">
        <v>13</v>
      </c>
      <c r="C11" s="5" t="s">
        <v>14</v>
      </c>
    </row>
    <row r="12" customFormat="false" ht="15" hidden="false" customHeight="false" outlineLevel="0" collapsed="false">
      <c r="B12" s="4" t="s">
        <v>15</v>
      </c>
      <c r="C12" s="5" t="s">
        <v>16</v>
      </c>
    </row>
    <row r="13" customFormat="false" ht="15" hidden="false" customHeight="false" outlineLevel="0" collapsed="false">
      <c r="B13" s="4" t="s">
        <v>17</v>
      </c>
      <c r="C13" s="5" t="s">
        <v>18</v>
      </c>
    </row>
    <row r="14" customFormat="false" ht="15" hidden="false" customHeight="false" outlineLevel="0" collapsed="false">
      <c r="B14" s="4" t="s">
        <v>19</v>
      </c>
      <c r="C14" s="5" t="s">
        <v>20</v>
      </c>
    </row>
    <row r="15" customFormat="false" ht="15" hidden="false" customHeight="false" outlineLevel="0" collapsed="false">
      <c r="B15" s="4" t="s">
        <v>21</v>
      </c>
      <c r="C15" s="5" t="s">
        <v>22</v>
      </c>
    </row>
    <row r="16" customFormat="false" ht="15" hidden="false" customHeight="false" outlineLevel="0" collapsed="false">
      <c r="B16" s="4" t="s">
        <v>23</v>
      </c>
      <c r="C16" s="5" t="s">
        <v>24</v>
      </c>
    </row>
    <row r="17" customFormat="false" ht="15" hidden="false" customHeight="false" outlineLevel="0" collapsed="false">
      <c r="B17" s="4" t="s">
        <v>25</v>
      </c>
      <c r="C17" s="5" t="s">
        <v>26</v>
      </c>
    </row>
    <row r="18" customFormat="false" ht="15" hidden="false" customHeight="false" outlineLevel="0" collapsed="false">
      <c r="B18" s="4" t="s">
        <v>27</v>
      </c>
      <c r="C18" s="5" t="s">
        <v>28</v>
      </c>
    </row>
    <row r="19" customFormat="false" ht="15" hidden="false" customHeight="false" outlineLevel="0" collapsed="false">
      <c r="B19" s="4" t="s">
        <v>29</v>
      </c>
      <c r="C19" s="5" t="s">
        <v>30</v>
      </c>
    </row>
    <row r="20" customFormat="false" ht="15" hidden="false" customHeight="false" outlineLevel="0" collapsed="false">
      <c r="B20" s="4" t="s">
        <v>31</v>
      </c>
      <c r="C20" s="5" t="s">
        <v>32</v>
      </c>
    </row>
    <row r="23" customFormat="false" ht="15" hidden="false" customHeight="false" outlineLevel="0" collapsed="false">
      <c r="B23" s="6" t="s">
        <v>33</v>
      </c>
      <c r="C23" s="7" t="s">
        <v>34</v>
      </c>
    </row>
    <row r="24" customFormat="false" ht="15" hidden="false" customHeight="false" outlineLevel="0" collapsed="false">
      <c r="B24" s="6" t="s">
        <v>35</v>
      </c>
      <c r="C24" s="7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5"/>
    <col collapsed="false" customWidth="true" hidden="false" outlineLevel="0" max="3" min="3" style="0" width="5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18.55" hidden="false" customHeight="false" outlineLevel="0" collapsed="false">
      <c r="A1" s="8" t="s">
        <v>37</v>
      </c>
    </row>
    <row r="2" customFormat="false" ht="15" hidden="false" customHeight="false" outlineLevel="0" collapsed="false">
      <c r="A2" s="7" t="s">
        <v>38</v>
      </c>
    </row>
    <row r="4" customFormat="false" ht="15" hidden="false" customHeight="false" outlineLevel="0" collapsed="false">
      <c r="A4" s="9" t="s">
        <v>39</v>
      </c>
      <c r="B4" s="9" t="s">
        <v>40</v>
      </c>
      <c r="C4" s="9" t="s">
        <v>41</v>
      </c>
      <c r="D4" s="9" t="s">
        <v>42</v>
      </c>
      <c r="E4" s="9" t="s">
        <v>43</v>
      </c>
      <c r="F4" s="9" t="s">
        <v>44</v>
      </c>
    </row>
    <row r="5" customFormat="false" ht="15" hidden="false" customHeight="false" outlineLevel="0" collapsed="false">
      <c r="A5" s="10" t="s">
        <v>45</v>
      </c>
      <c r="B5" s="10" t="s">
        <v>46</v>
      </c>
      <c r="C5" s="10" t="s">
        <v>47</v>
      </c>
      <c r="D5" s="10" t="s">
        <v>48</v>
      </c>
      <c r="E5" s="10" t="s">
        <v>49</v>
      </c>
      <c r="F5" s="10" t="s">
        <v>50</v>
      </c>
    </row>
    <row r="6" customFormat="false" ht="15" hidden="false" customHeight="false" outlineLevel="0" collapsed="false">
      <c r="A6" s="10" t="s">
        <v>51</v>
      </c>
      <c r="B6" s="10" t="s">
        <v>52</v>
      </c>
      <c r="C6" s="10" t="s">
        <v>53</v>
      </c>
      <c r="D6" s="10" t="s">
        <v>54</v>
      </c>
      <c r="E6" s="10" t="s">
        <v>55</v>
      </c>
      <c r="F6" s="10" t="s">
        <v>56</v>
      </c>
    </row>
    <row r="7" customFormat="false" ht="15" hidden="false" customHeight="false" outlineLevel="0" collapsed="false">
      <c r="A7" s="10" t="s">
        <v>57</v>
      </c>
      <c r="B7" s="10" t="s">
        <v>52</v>
      </c>
      <c r="C7" s="10" t="s">
        <v>58</v>
      </c>
      <c r="D7" s="10" t="s">
        <v>59</v>
      </c>
      <c r="E7" s="10" t="s">
        <v>60</v>
      </c>
      <c r="F7" s="10" t="s">
        <v>61</v>
      </c>
    </row>
    <row r="8" customFormat="false" ht="15" hidden="false" customHeight="false" outlineLevel="0" collapsed="false">
      <c r="A8" s="10" t="s">
        <v>62</v>
      </c>
      <c r="B8" s="10" t="s">
        <v>63</v>
      </c>
      <c r="C8" s="10" t="s">
        <v>64</v>
      </c>
      <c r="D8" s="10" t="s">
        <v>65</v>
      </c>
      <c r="E8" s="10" t="s">
        <v>66</v>
      </c>
      <c r="F8" s="10" t="s">
        <v>50</v>
      </c>
    </row>
    <row r="9" customFormat="false" ht="15" hidden="false" customHeight="false" outlineLevel="0" collapsed="false">
      <c r="A9" s="10" t="s">
        <v>67</v>
      </c>
      <c r="B9" s="10" t="s">
        <v>52</v>
      </c>
      <c r="C9" s="10" t="s">
        <v>68</v>
      </c>
      <c r="D9" s="10" t="s">
        <v>69</v>
      </c>
      <c r="E9" s="10" t="s">
        <v>70</v>
      </c>
      <c r="F9" s="10" t="s">
        <v>50</v>
      </c>
    </row>
    <row r="10" customFormat="false" ht="15" hidden="false" customHeight="false" outlineLevel="0" collapsed="false">
      <c r="A10" s="10" t="s">
        <v>71</v>
      </c>
      <c r="B10" s="10" t="s">
        <v>72</v>
      </c>
      <c r="C10" s="10" t="s">
        <v>73</v>
      </c>
      <c r="D10" s="10" t="s">
        <v>74</v>
      </c>
      <c r="E10" s="10" t="s">
        <v>75</v>
      </c>
      <c r="F10" s="10" t="s">
        <v>76</v>
      </c>
    </row>
    <row r="11" customFormat="false" ht="15" hidden="false" customHeight="false" outlineLevel="0" collapsed="false">
      <c r="A11" s="10" t="s">
        <v>77</v>
      </c>
      <c r="B11" s="10" t="s">
        <v>52</v>
      </c>
      <c r="C11" s="10" t="s">
        <v>78</v>
      </c>
      <c r="D11" s="10" t="s">
        <v>54</v>
      </c>
      <c r="E11" s="10" t="s">
        <v>75</v>
      </c>
      <c r="F11" s="10" t="s">
        <v>61</v>
      </c>
    </row>
    <row r="12" customFormat="false" ht="15" hidden="false" customHeight="false" outlineLevel="0" collapsed="false">
      <c r="A12" s="10" t="s">
        <v>79</v>
      </c>
      <c r="B12" s="10" t="s">
        <v>46</v>
      </c>
      <c r="C12" s="10" t="s">
        <v>80</v>
      </c>
      <c r="D12" s="10" t="s">
        <v>81</v>
      </c>
      <c r="E12" s="10" t="s">
        <v>82</v>
      </c>
      <c r="F12" s="10" t="s">
        <v>83</v>
      </c>
    </row>
    <row r="13" customFormat="false" ht="15" hidden="false" customHeight="false" outlineLevel="0" collapsed="false">
      <c r="A13" s="10" t="s">
        <v>84</v>
      </c>
      <c r="B13" s="10" t="s">
        <v>46</v>
      </c>
      <c r="C13" s="10" t="s">
        <v>85</v>
      </c>
      <c r="D13" s="10" t="s">
        <v>86</v>
      </c>
      <c r="E13" s="10" t="s">
        <v>87</v>
      </c>
      <c r="F13" s="10" t="s">
        <v>88</v>
      </c>
    </row>
    <row r="14" customFormat="false" ht="15" hidden="false" customHeight="false" outlineLevel="0" collapsed="false">
      <c r="A14" s="10" t="s">
        <v>89</v>
      </c>
      <c r="B14" s="10" t="s">
        <v>46</v>
      </c>
      <c r="C14" s="10" t="s">
        <v>90</v>
      </c>
      <c r="D14" s="10" t="s">
        <v>91</v>
      </c>
      <c r="E14" s="10" t="s">
        <v>92</v>
      </c>
      <c r="F14" s="10" t="s">
        <v>93</v>
      </c>
    </row>
    <row r="15" customFormat="false" ht="15" hidden="false" customHeight="false" outlineLevel="0" collapsed="false">
      <c r="A15" s="10" t="s">
        <v>94</v>
      </c>
      <c r="B15" s="10" t="s">
        <v>52</v>
      </c>
      <c r="C15" s="10" t="s">
        <v>95</v>
      </c>
      <c r="D15" s="10" t="s">
        <v>96</v>
      </c>
      <c r="E15" s="10" t="s">
        <v>82</v>
      </c>
      <c r="F15" s="10" t="s">
        <v>97</v>
      </c>
    </row>
    <row r="16" customFormat="false" ht="15" hidden="false" customHeight="false" outlineLevel="0" collapsed="false">
      <c r="A16" s="10" t="s">
        <v>98</v>
      </c>
      <c r="B16" s="10" t="s">
        <v>46</v>
      </c>
      <c r="C16" s="10" t="s">
        <v>99</v>
      </c>
      <c r="D16" s="10" t="s">
        <v>100</v>
      </c>
      <c r="E16" s="10" t="s">
        <v>82</v>
      </c>
      <c r="F16" s="10" t="s">
        <v>61</v>
      </c>
    </row>
    <row r="17" customFormat="false" ht="15" hidden="false" customHeight="false" outlineLevel="0" collapsed="false">
      <c r="A17" s="10" t="s">
        <v>101</v>
      </c>
      <c r="B17" s="10" t="s">
        <v>46</v>
      </c>
      <c r="C17" s="10" t="s">
        <v>102</v>
      </c>
      <c r="D17" s="10" t="s">
        <v>103</v>
      </c>
      <c r="E17" s="10" t="s">
        <v>104</v>
      </c>
      <c r="F17" s="10" t="s">
        <v>105</v>
      </c>
    </row>
    <row r="18" customFormat="false" ht="15" hidden="false" customHeight="false" outlineLevel="0" collapsed="false">
      <c r="A18" s="10" t="s">
        <v>106</v>
      </c>
      <c r="B18" s="10" t="s">
        <v>46</v>
      </c>
      <c r="C18" s="10" t="s">
        <v>107</v>
      </c>
      <c r="D18" s="10" t="s">
        <v>108</v>
      </c>
      <c r="E18" s="10" t="s">
        <v>109</v>
      </c>
      <c r="F18" s="10" t="s">
        <v>110</v>
      </c>
    </row>
    <row r="19" customFormat="false" ht="15" hidden="false" customHeight="false" outlineLevel="0" collapsed="false">
      <c r="A19" s="10" t="s">
        <v>111</v>
      </c>
      <c r="B19" s="10" t="s">
        <v>46</v>
      </c>
      <c r="C19" s="10" t="s">
        <v>112</v>
      </c>
      <c r="D19" s="10" t="s">
        <v>113</v>
      </c>
      <c r="E19" s="10" t="s">
        <v>114</v>
      </c>
      <c r="F19" s="10" t="s">
        <v>50</v>
      </c>
    </row>
    <row r="20" customFormat="false" ht="15" hidden="false" customHeight="false" outlineLevel="0" collapsed="false">
      <c r="A20" s="11" t="s">
        <v>115</v>
      </c>
      <c r="B20" s="11"/>
      <c r="C20" s="11"/>
      <c r="D20" s="11"/>
      <c r="E20" s="11"/>
      <c r="F20" s="11"/>
    </row>
    <row r="21" customFormat="false" ht="15" hidden="false" customHeight="false" outlineLevel="0" collapsed="false">
      <c r="A21" s="10" t="s">
        <v>116</v>
      </c>
      <c r="B21" s="10" t="s">
        <v>117</v>
      </c>
      <c r="C21" s="10" t="s">
        <v>118</v>
      </c>
      <c r="D21" s="10" t="s">
        <v>119</v>
      </c>
      <c r="E21" s="10" t="s">
        <v>120</v>
      </c>
      <c r="F21" s="10" t="s">
        <v>50</v>
      </c>
    </row>
    <row r="22" customFormat="false" ht="15" hidden="false" customHeight="false" outlineLevel="0" collapsed="false">
      <c r="A22" s="10" t="s">
        <v>121</v>
      </c>
      <c r="B22" s="10" t="s">
        <v>117</v>
      </c>
      <c r="C22" s="10" t="s">
        <v>122</v>
      </c>
      <c r="D22" s="10" t="s">
        <v>123</v>
      </c>
      <c r="E22" s="10" t="s">
        <v>124</v>
      </c>
      <c r="F22" s="10" t="s">
        <v>50</v>
      </c>
    </row>
    <row r="23" customFormat="false" ht="15" hidden="false" customHeight="false" outlineLevel="0" collapsed="false">
      <c r="A23" s="10" t="s">
        <v>125</v>
      </c>
      <c r="B23" s="10" t="s">
        <v>126</v>
      </c>
      <c r="C23" s="10" t="s">
        <v>127</v>
      </c>
      <c r="D23" s="10" t="s">
        <v>128</v>
      </c>
      <c r="E23" s="10" t="s">
        <v>129</v>
      </c>
      <c r="F23" s="10" t="s">
        <v>50</v>
      </c>
    </row>
    <row r="24" customFormat="false" ht="15" hidden="false" customHeight="false" outlineLevel="0" collapsed="false">
      <c r="A24" s="10" t="s">
        <v>130</v>
      </c>
      <c r="B24" s="10" t="s">
        <v>52</v>
      </c>
      <c r="C24" s="10" t="s">
        <v>131</v>
      </c>
      <c r="D24" s="10" t="s">
        <v>132</v>
      </c>
      <c r="E24" s="10" t="s">
        <v>82</v>
      </c>
      <c r="F24" s="1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60"/>
    <col collapsed="false" customWidth="true" hidden="false" outlineLevel="0" max="5" min="5" style="0" width="12"/>
  </cols>
  <sheetData>
    <row r="1" customFormat="false" ht="18.55" hidden="false" customHeight="false" outlineLevel="0" collapsed="false">
      <c r="A1" s="8" t="s">
        <v>133</v>
      </c>
    </row>
    <row r="2" customFormat="false" ht="15" hidden="false" customHeight="false" outlineLevel="0" collapsed="false">
      <c r="A2" s="7" t="s">
        <v>134</v>
      </c>
    </row>
    <row r="4" customFormat="false" ht="23.85" hidden="false" customHeight="false" outlineLevel="0" collapsed="false">
      <c r="A4" s="9" t="s">
        <v>63</v>
      </c>
      <c r="B4" s="9" t="s">
        <v>135</v>
      </c>
      <c r="C4" s="9" t="s">
        <v>136</v>
      </c>
      <c r="D4" s="9" t="s">
        <v>137</v>
      </c>
      <c r="E4" s="9" t="s">
        <v>138</v>
      </c>
    </row>
    <row r="5" customFormat="false" ht="15" hidden="false" customHeight="false" outlineLevel="0" collapsed="false">
      <c r="A5" s="10" t="s">
        <v>139</v>
      </c>
      <c r="B5" s="10" t="s">
        <v>45</v>
      </c>
      <c r="C5" s="10" t="s">
        <v>140</v>
      </c>
      <c r="D5" s="12" t="s">
        <v>141</v>
      </c>
      <c r="E5" s="13" t="n">
        <v>0</v>
      </c>
    </row>
    <row r="6" customFormat="false" ht="22.35" hidden="false" customHeight="false" outlineLevel="0" collapsed="false">
      <c r="A6" s="10" t="s">
        <v>139</v>
      </c>
      <c r="B6" s="10" t="s">
        <v>51</v>
      </c>
      <c r="C6" s="10" t="s">
        <v>142</v>
      </c>
      <c r="D6" s="12" t="s">
        <v>143</v>
      </c>
      <c r="E6" s="13" t="n">
        <v>3276</v>
      </c>
    </row>
    <row r="7" customFormat="false" ht="15" hidden="false" customHeight="false" outlineLevel="0" collapsed="false">
      <c r="A7" s="10" t="s">
        <v>139</v>
      </c>
      <c r="B7" s="10" t="s">
        <v>71</v>
      </c>
      <c r="C7" s="10" t="s">
        <v>144</v>
      </c>
      <c r="D7" s="12" t="s">
        <v>145</v>
      </c>
      <c r="E7" s="13" t="n">
        <v>81</v>
      </c>
    </row>
    <row r="8" customFormat="false" ht="15" hidden="false" customHeight="false" outlineLevel="0" collapsed="false">
      <c r="A8" s="10" t="s">
        <v>139</v>
      </c>
      <c r="B8" s="10" t="s">
        <v>84</v>
      </c>
      <c r="C8" s="10" t="s">
        <v>146</v>
      </c>
      <c r="D8" s="12" t="s">
        <v>147</v>
      </c>
      <c r="E8" s="13" t="n">
        <v>11217</v>
      </c>
    </row>
    <row r="9" customFormat="false" ht="22.35" hidden="false" customHeight="false" outlineLevel="0" collapsed="false">
      <c r="A9" s="10" t="s">
        <v>139</v>
      </c>
      <c r="B9" s="10" t="s">
        <v>84</v>
      </c>
      <c r="C9" s="10" t="s">
        <v>148</v>
      </c>
      <c r="D9" s="12" t="s">
        <v>149</v>
      </c>
      <c r="E9" s="13" t="n">
        <v>3552</v>
      </c>
    </row>
    <row r="10" customFormat="false" ht="22.35" hidden="false" customHeight="false" outlineLevel="0" collapsed="false">
      <c r="A10" s="10" t="s">
        <v>139</v>
      </c>
      <c r="B10" s="10" t="s">
        <v>89</v>
      </c>
      <c r="C10" s="10" t="s">
        <v>150</v>
      </c>
      <c r="D10" s="12" t="s">
        <v>151</v>
      </c>
      <c r="E10" s="13" t="n">
        <v>12542</v>
      </c>
    </row>
    <row r="11" customFormat="false" ht="15" hidden="false" customHeight="false" outlineLevel="0" collapsed="false">
      <c r="A11" s="10" t="s">
        <v>139</v>
      </c>
      <c r="B11" s="10" t="s">
        <v>101</v>
      </c>
      <c r="C11" s="10" t="s">
        <v>152</v>
      </c>
      <c r="D11" s="12" t="s">
        <v>153</v>
      </c>
      <c r="E11" s="13" t="n">
        <v>10929</v>
      </c>
    </row>
    <row r="12" customFormat="false" ht="15" hidden="false" customHeight="false" outlineLevel="0" collapsed="false">
      <c r="A12" s="10" t="s">
        <v>139</v>
      </c>
      <c r="B12" s="10" t="s">
        <v>106</v>
      </c>
      <c r="C12" s="10" t="s">
        <v>154</v>
      </c>
      <c r="D12" s="12" t="s">
        <v>155</v>
      </c>
      <c r="E12" s="13" t="n">
        <v>149</v>
      </c>
    </row>
    <row r="13" customFormat="false" ht="15" hidden="false" customHeight="false" outlineLevel="0" collapsed="false">
      <c r="A13" s="10" t="s">
        <v>139</v>
      </c>
      <c r="B13" s="10" t="s">
        <v>106</v>
      </c>
      <c r="C13" s="10" t="s">
        <v>156</v>
      </c>
      <c r="D13" s="12" t="s">
        <v>157</v>
      </c>
      <c r="E13" s="13" t="n">
        <v>14067</v>
      </c>
    </row>
    <row r="14" customFormat="false" ht="22.35" hidden="false" customHeight="false" outlineLevel="0" collapsed="false">
      <c r="A14" s="10" t="s">
        <v>139</v>
      </c>
      <c r="B14" s="10" t="s">
        <v>62</v>
      </c>
      <c r="C14" s="10" t="s">
        <v>158</v>
      </c>
      <c r="D14" s="12" t="s">
        <v>159</v>
      </c>
      <c r="E14" s="13" t="n">
        <v>65818</v>
      </c>
    </row>
    <row r="15" customFormat="false" ht="15" hidden="false" customHeight="false" outlineLevel="0" collapsed="false">
      <c r="A15" s="10" t="s">
        <v>139</v>
      </c>
      <c r="B15" s="10" t="s">
        <v>160</v>
      </c>
      <c r="C15" s="10" t="s">
        <v>161</v>
      </c>
      <c r="D15" s="12" t="s">
        <v>162</v>
      </c>
      <c r="E15" s="13" t="s">
        <v>82</v>
      </c>
    </row>
    <row r="17" customFormat="false" ht="15" hidden="false" customHeight="false" outlineLevel="0" collapsed="false">
      <c r="A17" s="14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78"/>
  </cols>
  <sheetData>
    <row r="1" customFormat="false" ht="18.55" hidden="false" customHeight="false" outlineLevel="0" collapsed="false">
      <c r="A1" s="8" t="s">
        <v>164</v>
      </c>
    </row>
    <row r="2" customFormat="false" ht="15" hidden="false" customHeight="false" outlineLevel="0" collapsed="false">
      <c r="A2" s="7" t="s">
        <v>165</v>
      </c>
    </row>
    <row r="4" customFormat="false" ht="15" hidden="false" customHeight="false" outlineLevel="0" collapsed="false">
      <c r="A4" s="9" t="s">
        <v>39</v>
      </c>
      <c r="B4" s="9" t="s">
        <v>40</v>
      </c>
      <c r="C4" s="9" t="s">
        <v>166</v>
      </c>
      <c r="D4" s="9" t="s">
        <v>167</v>
      </c>
      <c r="E4" s="9" t="s">
        <v>168</v>
      </c>
    </row>
    <row r="5" customFormat="false" ht="22.35" hidden="false" customHeight="false" outlineLevel="0" collapsed="false">
      <c r="A5" s="10" t="s">
        <v>51</v>
      </c>
      <c r="B5" s="10" t="s">
        <v>169</v>
      </c>
      <c r="C5" s="10" t="s">
        <v>170</v>
      </c>
      <c r="D5" s="10" t="s">
        <v>171</v>
      </c>
      <c r="E5" s="12" t="s">
        <v>172</v>
      </c>
    </row>
    <row r="6" customFormat="false" ht="22.35" hidden="false" customHeight="false" outlineLevel="0" collapsed="false">
      <c r="A6" s="10" t="s">
        <v>71</v>
      </c>
      <c r="B6" s="10" t="s">
        <v>169</v>
      </c>
      <c r="C6" s="10" t="s">
        <v>170</v>
      </c>
      <c r="D6" s="10" t="s">
        <v>173</v>
      </c>
      <c r="E6" s="12" t="s">
        <v>174</v>
      </c>
    </row>
    <row r="7" customFormat="false" ht="15" hidden="false" customHeight="false" outlineLevel="0" collapsed="false">
      <c r="A7" s="10" t="s">
        <v>175</v>
      </c>
      <c r="B7" s="10" t="s">
        <v>169</v>
      </c>
      <c r="C7" s="10" t="s">
        <v>170</v>
      </c>
      <c r="D7" s="10" t="s">
        <v>173</v>
      </c>
      <c r="E7" s="12" t="s">
        <v>176</v>
      </c>
    </row>
    <row r="8" customFormat="false" ht="15" hidden="false" customHeight="false" outlineLevel="0" collapsed="false">
      <c r="A8" s="10" t="s">
        <v>116</v>
      </c>
      <c r="B8" s="10" t="s">
        <v>177</v>
      </c>
      <c r="C8" s="10" t="s">
        <v>178</v>
      </c>
      <c r="D8" s="10" t="s">
        <v>178</v>
      </c>
      <c r="E8" s="12" t="s">
        <v>179</v>
      </c>
    </row>
    <row r="9" customFormat="false" ht="15" hidden="false" customHeight="false" outlineLevel="0" collapsed="false">
      <c r="A9" s="10" t="s">
        <v>121</v>
      </c>
      <c r="B9" s="10" t="s">
        <v>177</v>
      </c>
      <c r="C9" s="10" t="s">
        <v>178</v>
      </c>
      <c r="D9" s="10" t="s">
        <v>178</v>
      </c>
      <c r="E9" s="12" t="s">
        <v>180</v>
      </c>
    </row>
    <row r="10" customFormat="false" ht="15" hidden="false" customHeight="false" outlineLevel="0" collapsed="false">
      <c r="A10" s="10" t="s">
        <v>181</v>
      </c>
      <c r="B10" s="10" t="s">
        <v>177</v>
      </c>
      <c r="C10" s="10" t="s">
        <v>178</v>
      </c>
      <c r="D10" s="10" t="s">
        <v>178</v>
      </c>
      <c r="E10" s="12" t="s">
        <v>182</v>
      </c>
    </row>
    <row r="11" customFormat="false" ht="15" hidden="false" customHeight="false" outlineLevel="0" collapsed="false">
      <c r="A11" s="10" t="s">
        <v>111</v>
      </c>
      <c r="B11" s="10" t="s">
        <v>177</v>
      </c>
      <c r="C11" s="10" t="s">
        <v>178</v>
      </c>
      <c r="D11" s="10" t="s">
        <v>178</v>
      </c>
      <c r="E11" s="12" t="s">
        <v>183</v>
      </c>
    </row>
    <row r="12" customFormat="false" ht="15" hidden="false" customHeight="false" outlineLevel="0" collapsed="false">
      <c r="A12" s="10" t="s">
        <v>84</v>
      </c>
      <c r="B12" s="10" t="s">
        <v>177</v>
      </c>
      <c r="C12" s="10" t="s">
        <v>184</v>
      </c>
      <c r="D12" s="10" t="s">
        <v>184</v>
      </c>
      <c r="E12" s="12" t="s">
        <v>185</v>
      </c>
    </row>
    <row r="13" customFormat="false" ht="15" hidden="false" customHeight="false" outlineLevel="0" collapsed="false">
      <c r="A13" s="10" t="s">
        <v>89</v>
      </c>
      <c r="B13" s="10" t="s">
        <v>177</v>
      </c>
      <c r="C13" s="10" t="s">
        <v>184</v>
      </c>
      <c r="D13" s="10" t="s">
        <v>184</v>
      </c>
      <c r="E13" s="12" t="s">
        <v>186</v>
      </c>
    </row>
    <row r="14" customFormat="false" ht="15" hidden="false" customHeight="false" outlineLevel="0" collapsed="false">
      <c r="A14" s="10" t="s">
        <v>101</v>
      </c>
      <c r="B14" s="10" t="s">
        <v>177</v>
      </c>
      <c r="C14" s="10" t="s">
        <v>184</v>
      </c>
      <c r="D14" s="10" t="s">
        <v>184</v>
      </c>
      <c r="E14" s="12" t="s">
        <v>187</v>
      </c>
    </row>
    <row r="15" customFormat="false" ht="15" hidden="false" customHeight="false" outlineLevel="0" collapsed="false">
      <c r="A15" s="10" t="s">
        <v>106</v>
      </c>
      <c r="B15" s="10" t="s">
        <v>177</v>
      </c>
      <c r="C15" s="10" t="s">
        <v>184</v>
      </c>
      <c r="D15" s="10" t="s">
        <v>184</v>
      </c>
      <c r="E15" s="12" t="s">
        <v>188</v>
      </c>
    </row>
    <row r="16" customFormat="false" ht="15" hidden="false" customHeight="false" outlineLevel="0" collapsed="false">
      <c r="A16" s="10" t="s">
        <v>189</v>
      </c>
      <c r="B16" s="10" t="s">
        <v>169</v>
      </c>
      <c r="C16" s="10" t="s">
        <v>190</v>
      </c>
      <c r="D16" s="10" t="s">
        <v>171</v>
      </c>
      <c r="E16" s="12" t="s">
        <v>191</v>
      </c>
    </row>
    <row r="19" customFormat="false" ht="15" hidden="false" customHeight="false" outlineLevel="0" collapsed="false">
      <c r="A19" s="7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4" min="14" style="0" width="22"/>
    <col collapsed="false" customWidth="true" hidden="false" outlineLevel="0" max="15" min="15" style="0" width="11"/>
    <col collapsed="false" customWidth="true" hidden="false" outlineLevel="0" max="17" min="16" style="0" width="10"/>
    <col collapsed="false" customWidth="true" hidden="false" outlineLevel="0" max="20" min="20" style="0" width="16"/>
    <col collapsed="false" customWidth="true" hidden="false" outlineLevel="0" max="21" min="21" style="0" width="11"/>
    <col collapsed="false" customWidth="true" hidden="false" outlineLevel="0" max="23" min="22" style="0" width="10"/>
    <col collapsed="false" customWidth="true" hidden="false" outlineLevel="0" max="27" min="26" style="0" width="11"/>
    <col collapsed="false" customWidth="true" hidden="false" outlineLevel="0" max="28" min="28" style="0" width="10"/>
  </cols>
  <sheetData>
    <row r="1" customFormat="false" ht="18.55" hidden="false" customHeight="false" outlineLevel="0" collapsed="false">
      <c r="A1" s="8" t="s">
        <v>193</v>
      </c>
    </row>
    <row r="2" customFormat="false" ht="15" hidden="false" customHeight="false" outlineLevel="0" collapsed="false">
      <c r="A2" s="7" t="s">
        <v>194</v>
      </c>
    </row>
    <row r="4" customFormat="false" ht="15" hidden="false" customHeight="false" outlineLevel="0" collapsed="false">
      <c r="A4" s="15" t="s">
        <v>195</v>
      </c>
      <c r="H4" s="15" t="s">
        <v>196</v>
      </c>
      <c r="N4" s="15" t="s">
        <v>197</v>
      </c>
      <c r="T4" s="15" t="s">
        <v>198</v>
      </c>
      <c r="Z4" s="15" t="s">
        <v>199</v>
      </c>
    </row>
    <row r="5" customFormat="false" ht="15" hidden="false" customHeight="false" outlineLevel="0" collapsed="false">
      <c r="A5" s="3" t="s">
        <v>200</v>
      </c>
      <c r="B5" s="3" t="s">
        <v>201</v>
      </c>
      <c r="C5" s="3" t="s">
        <v>202</v>
      </c>
      <c r="D5" s="3" t="s">
        <v>203</v>
      </c>
      <c r="E5" s="3" t="s">
        <v>204</v>
      </c>
      <c r="F5" s="3" t="s">
        <v>205</v>
      </c>
      <c r="H5" s="3" t="s">
        <v>206</v>
      </c>
      <c r="I5" s="3" t="s">
        <v>201</v>
      </c>
      <c r="J5" s="3" t="s">
        <v>202</v>
      </c>
      <c r="K5" s="3" t="s">
        <v>205</v>
      </c>
      <c r="N5" s="3" t="s">
        <v>207</v>
      </c>
      <c r="O5" s="3" t="s">
        <v>201</v>
      </c>
      <c r="P5" s="3" t="s">
        <v>202</v>
      </c>
      <c r="Q5" s="3" t="s">
        <v>205</v>
      </c>
      <c r="T5" s="3" t="s">
        <v>208</v>
      </c>
      <c r="U5" s="3" t="s">
        <v>201</v>
      </c>
      <c r="V5" s="3" t="s">
        <v>202</v>
      </c>
      <c r="Z5" s="3" t="s">
        <v>209</v>
      </c>
      <c r="AA5" s="3" t="s">
        <v>201</v>
      </c>
      <c r="AB5" s="3" t="s">
        <v>202</v>
      </c>
    </row>
    <row r="6" customFormat="false" ht="15" hidden="false" customHeight="false" outlineLevel="0" collapsed="false">
      <c r="A6" s="10" t="n">
        <v>2019</v>
      </c>
      <c r="B6" s="16" t="n">
        <v>10155</v>
      </c>
      <c r="C6" s="16" t="n">
        <v>11886</v>
      </c>
      <c r="D6" s="16" t="n">
        <v>11328</v>
      </c>
      <c r="E6" s="16" t="n">
        <v>454</v>
      </c>
      <c r="F6" s="16" t="n">
        <v>104</v>
      </c>
      <c r="H6" s="10" t="n">
        <v>0</v>
      </c>
      <c r="I6" s="16" t="n">
        <v>1901</v>
      </c>
      <c r="J6" s="16" t="n">
        <v>2154</v>
      </c>
      <c r="K6" s="16" t="n">
        <v>21</v>
      </c>
      <c r="N6" s="10" t="s">
        <v>210</v>
      </c>
      <c r="O6" s="16" t="n">
        <v>30525</v>
      </c>
      <c r="P6" s="16" t="n">
        <v>34747</v>
      </c>
      <c r="Q6" s="16" t="n">
        <v>426</v>
      </c>
      <c r="T6" s="10" t="s">
        <v>211</v>
      </c>
      <c r="U6" s="16" t="n">
        <v>62174</v>
      </c>
      <c r="V6" s="16" t="n">
        <v>70854</v>
      </c>
      <c r="Z6" s="10" t="s">
        <v>212</v>
      </c>
      <c r="AA6" s="16" t="n">
        <v>750</v>
      </c>
      <c r="AB6" s="16" t="n">
        <v>882</v>
      </c>
    </row>
    <row r="7" customFormat="false" ht="15" hidden="false" customHeight="false" outlineLevel="0" collapsed="false">
      <c r="A7" s="10" t="n">
        <v>2020</v>
      </c>
      <c r="B7" s="16" t="n">
        <v>6061</v>
      </c>
      <c r="C7" s="16" t="n">
        <v>6936</v>
      </c>
      <c r="D7" s="16" t="n">
        <v>6684</v>
      </c>
      <c r="E7" s="16" t="n">
        <v>170</v>
      </c>
      <c r="F7" s="16" t="n">
        <v>82</v>
      </c>
      <c r="H7" s="10" t="n">
        <v>1</v>
      </c>
      <c r="I7" s="16" t="n">
        <v>947</v>
      </c>
      <c r="J7" s="16" t="n">
        <v>1144</v>
      </c>
      <c r="K7" s="16" t="n">
        <v>17</v>
      </c>
      <c r="N7" s="10" t="s">
        <v>213</v>
      </c>
      <c r="O7" s="16" t="n">
        <v>18794</v>
      </c>
      <c r="P7" s="16" t="n">
        <v>21039</v>
      </c>
      <c r="Q7" s="16" t="n">
        <v>150</v>
      </c>
      <c r="T7" s="10" t="s">
        <v>214</v>
      </c>
      <c r="U7" s="16" t="n">
        <v>2955</v>
      </c>
      <c r="V7" s="16" t="n">
        <v>3572</v>
      </c>
      <c r="Z7" s="10" t="s">
        <v>215</v>
      </c>
      <c r="AA7" s="16" t="n">
        <v>801</v>
      </c>
      <c r="AB7" s="16" t="n">
        <v>941</v>
      </c>
    </row>
    <row r="8" customFormat="false" ht="15" hidden="false" customHeight="false" outlineLevel="0" collapsed="false">
      <c r="A8" s="10" t="n">
        <v>2021</v>
      </c>
      <c r="B8" s="16" t="n">
        <v>7818</v>
      </c>
      <c r="C8" s="16" t="n">
        <v>9053</v>
      </c>
      <c r="D8" s="16" t="n">
        <v>8590</v>
      </c>
      <c r="E8" s="16" t="n">
        <v>367</v>
      </c>
      <c r="F8" s="16" t="n">
        <v>96</v>
      </c>
      <c r="H8" s="10" t="n">
        <v>2</v>
      </c>
      <c r="I8" s="16" t="n">
        <v>693</v>
      </c>
      <c r="J8" s="16" t="n">
        <v>806</v>
      </c>
      <c r="K8" s="16" t="n">
        <v>13</v>
      </c>
      <c r="N8" s="10" t="s">
        <v>216</v>
      </c>
      <c r="O8" s="16" t="n">
        <v>12542</v>
      </c>
      <c r="P8" s="16" t="n">
        <v>14556</v>
      </c>
      <c r="Q8" s="16" t="n">
        <v>0</v>
      </c>
      <c r="T8" s="10" t="s">
        <v>217</v>
      </c>
      <c r="U8" s="16" t="n">
        <v>689</v>
      </c>
      <c r="V8" s="16" t="n">
        <v>767</v>
      </c>
      <c r="Z8" s="10" t="s">
        <v>218</v>
      </c>
      <c r="AA8" s="16" t="n">
        <v>960</v>
      </c>
      <c r="AB8" s="16" t="n">
        <v>1151</v>
      </c>
    </row>
    <row r="9" customFormat="false" ht="15" hidden="false" customHeight="false" outlineLevel="0" collapsed="false">
      <c r="A9" s="10" t="n">
        <v>2022</v>
      </c>
      <c r="B9" s="16" t="n">
        <v>9536</v>
      </c>
      <c r="C9" s="16" t="n">
        <v>10647</v>
      </c>
      <c r="D9" s="16" t="n">
        <v>9978</v>
      </c>
      <c r="E9" s="16" t="n">
        <v>558</v>
      </c>
      <c r="F9" s="16" t="n">
        <v>111</v>
      </c>
      <c r="H9" s="10" t="n">
        <v>3</v>
      </c>
      <c r="I9" s="16" t="n">
        <v>508</v>
      </c>
      <c r="J9" s="16" t="n">
        <v>637</v>
      </c>
      <c r="K9" s="16" t="n">
        <v>30</v>
      </c>
      <c r="N9" s="10" t="s">
        <v>219</v>
      </c>
      <c r="O9" s="16" t="n">
        <v>2916</v>
      </c>
      <c r="P9" s="16" t="n">
        <v>3569</v>
      </c>
      <c r="Q9" s="16" t="n">
        <v>56</v>
      </c>
      <c r="Z9" s="10" t="s">
        <v>220</v>
      </c>
      <c r="AA9" s="16" t="n">
        <v>967</v>
      </c>
      <c r="AB9" s="16" t="n">
        <v>1135</v>
      </c>
    </row>
    <row r="10" customFormat="false" ht="15" hidden="false" customHeight="false" outlineLevel="0" collapsed="false">
      <c r="A10" s="10" t="n">
        <v>2023</v>
      </c>
      <c r="B10" s="16" t="n">
        <v>9927</v>
      </c>
      <c r="C10" s="16" t="n">
        <v>11075</v>
      </c>
      <c r="D10" s="16" t="n">
        <v>10601</v>
      </c>
      <c r="E10" s="16" t="n">
        <v>368</v>
      </c>
      <c r="F10" s="16" t="n">
        <v>106</v>
      </c>
      <c r="H10" s="10" t="n">
        <v>4</v>
      </c>
      <c r="I10" s="16" t="n">
        <v>454</v>
      </c>
      <c r="J10" s="16" t="n">
        <v>577</v>
      </c>
      <c r="K10" s="16" t="n">
        <v>25</v>
      </c>
      <c r="N10" s="10" t="s">
        <v>221</v>
      </c>
      <c r="O10" s="16" t="n">
        <v>1041</v>
      </c>
      <c r="P10" s="16" t="n">
        <v>1282</v>
      </c>
      <c r="Q10" s="16" t="n">
        <v>71</v>
      </c>
      <c r="T10" s="15" t="s">
        <v>222</v>
      </c>
      <c r="Z10" s="10" t="s">
        <v>223</v>
      </c>
      <c r="AA10" s="16" t="n">
        <v>1049</v>
      </c>
      <c r="AB10" s="16" t="n">
        <v>1244</v>
      </c>
    </row>
    <row r="11" customFormat="false" ht="15" hidden="false" customHeight="false" outlineLevel="0" collapsed="false">
      <c r="A11" s="10" t="n">
        <v>2024</v>
      </c>
      <c r="B11" s="16" t="n">
        <v>10569</v>
      </c>
      <c r="C11" s="16" t="n">
        <v>12481</v>
      </c>
      <c r="D11" s="16" t="n">
        <v>11814</v>
      </c>
      <c r="E11" s="16" t="n">
        <v>554</v>
      </c>
      <c r="F11" s="16" t="n">
        <v>113</v>
      </c>
      <c r="H11" s="10" t="n">
        <v>5</v>
      </c>
      <c r="I11" s="16" t="n">
        <v>754</v>
      </c>
      <c r="J11" s="16" t="n">
        <v>938</v>
      </c>
      <c r="K11" s="16" t="n">
        <v>32</v>
      </c>
      <c r="T11" s="3" t="s">
        <v>202</v>
      </c>
      <c r="U11" s="3" t="s">
        <v>201</v>
      </c>
      <c r="Z11" s="10" t="s">
        <v>224</v>
      </c>
      <c r="AA11" s="16" t="n">
        <v>896</v>
      </c>
      <c r="AB11" s="16" t="n">
        <v>1059</v>
      </c>
    </row>
    <row r="12" customFormat="false" ht="15" hidden="false" customHeight="false" outlineLevel="0" collapsed="false">
      <c r="A12" s="10" t="n">
        <v>2025</v>
      </c>
      <c r="B12" s="16" t="n">
        <v>11752</v>
      </c>
      <c r="C12" s="16" t="n">
        <v>13115</v>
      </c>
      <c r="D12" s="16" t="n">
        <v>12313</v>
      </c>
      <c r="E12" s="16" t="n">
        <v>711</v>
      </c>
      <c r="F12" s="16" t="n">
        <v>91</v>
      </c>
      <c r="H12" s="10" t="n">
        <v>6</v>
      </c>
      <c r="I12" s="16" t="n">
        <v>1317</v>
      </c>
      <c r="J12" s="16" t="n">
        <v>1589</v>
      </c>
      <c r="K12" s="16" t="n">
        <v>34</v>
      </c>
      <c r="N12" s="15" t="s">
        <v>225</v>
      </c>
      <c r="T12" s="10" t="n">
        <v>1</v>
      </c>
      <c r="U12" s="16" t="n">
        <v>59052</v>
      </c>
      <c r="Z12" s="10" t="s">
        <v>226</v>
      </c>
      <c r="AA12" s="16" t="n">
        <v>937</v>
      </c>
      <c r="AB12" s="16" t="n">
        <v>1176</v>
      </c>
    </row>
    <row r="13" customFormat="false" ht="15" hidden="false" customHeight="false" outlineLevel="0" collapsed="false">
      <c r="H13" s="10" t="n">
        <v>7</v>
      </c>
      <c r="I13" s="16" t="n">
        <v>2150</v>
      </c>
      <c r="J13" s="16" t="n">
        <v>2562</v>
      </c>
      <c r="K13" s="16" t="n">
        <v>46</v>
      </c>
      <c r="N13" s="3" t="s">
        <v>227</v>
      </c>
      <c r="O13" s="3" t="s">
        <v>201</v>
      </c>
      <c r="P13" s="3" t="s">
        <v>202</v>
      </c>
      <c r="Q13" s="3" t="s">
        <v>205</v>
      </c>
      <c r="T13" s="10" t="n">
        <v>2</v>
      </c>
      <c r="U13" s="16" t="n">
        <v>5295</v>
      </c>
      <c r="Z13" s="10" t="s">
        <v>228</v>
      </c>
      <c r="AA13" s="16" t="n">
        <v>912</v>
      </c>
      <c r="AB13" s="16" t="n">
        <v>1049</v>
      </c>
    </row>
    <row r="14" customFormat="false" ht="15" hidden="false" customHeight="false" outlineLevel="0" collapsed="false">
      <c r="A14" s="15" t="s">
        <v>229</v>
      </c>
      <c r="H14" s="10" t="n">
        <v>8</v>
      </c>
      <c r="I14" s="16" t="n">
        <v>2960</v>
      </c>
      <c r="J14" s="16" t="n">
        <v>3485</v>
      </c>
      <c r="K14" s="16" t="n">
        <v>28</v>
      </c>
      <c r="N14" s="10" t="s">
        <v>230</v>
      </c>
      <c r="O14" s="16" t="n">
        <v>24555</v>
      </c>
      <c r="P14" s="16" t="n">
        <v>26885</v>
      </c>
      <c r="Q14" s="16" t="n">
        <v>288</v>
      </c>
      <c r="T14" s="10" t="n">
        <v>3</v>
      </c>
      <c r="U14" s="16" t="n">
        <v>911</v>
      </c>
      <c r="Z14" s="10" t="s">
        <v>231</v>
      </c>
      <c r="AA14" s="16" t="n">
        <v>895</v>
      </c>
      <c r="AB14" s="16" t="n">
        <v>1067</v>
      </c>
    </row>
    <row r="15" customFormat="false" ht="15" hidden="false" customHeight="false" outlineLevel="0" collapsed="false">
      <c r="A15" s="3" t="s">
        <v>232</v>
      </c>
      <c r="B15" s="3" t="s">
        <v>201</v>
      </c>
      <c r="C15" s="3" t="s">
        <v>202</v>
      </c>
      <c r="D15" s="3" t="s">
        <v>205</v>
      </c>
      <c r="H15" s="10" t="n">
        <v>9</v>
      </c>
      <c r="I15" s="16" t="n">
        <v>3141</v>
      </c>
      <c r="J15" s="16" t="n">
        <v>3591</v>
      </c>
      <c r="K15" s="16" t="n">
        <v>29</v>
      </c>
      <c r="N15" s="10" t="s">
        <v>216</v>
      </c>
      <c r="O15" s="16" t="n">
        <v>10929</v>
      </c>
      <c r="P15" s="16" t="n">
        <v>12428</v>
      </c>
      <c r="Q15" s="16" t="n">
        <v>0</v>
      </c>
      <c r="T15" s="10" t="n">
        <v>4</v>
      </c>
      <c r="U15" s="16" t="n">
        <v>304</v>
      </c>
      <c r="Z15" s="10" t="s">
        <v>233</v>
      </c>
      <c r="AA15" s="16" t="n">
        <v>891</v>
      </c>
      <c r="AB15" s="16" t="n">
        <v>1048</v>
      </c>
    </row>
    <row r="16" customFormat="false" ht="15" hidden="false" customHeight="false" outlineLevel="0" collapsed="false">
      <c r="A16" s="10" t="s">
        <v>234</v>
      </c>
      <c r="B16" s="16" t="n">
        <v>4627</v>
      </c>
      <c r="C16" s="16" t="n">
        <v>5333</v>
      </c>
      <c r="D16" s="16" t="n">
        <v>63</v>
      </c>
      <c r="H16" s="10" t="n">
        <v>10</v>
      </c>
      <c r="I16" s="16" t="n">
        <v>3134</v>
      </c>
      <c r="J16" s="16" t="n">
        <v>3479</v>
      </c>
      <c r="K16" s="16" t="n">
        <v>32</v>
      </c>
      <c r="N16" s="10" t="s">
        <v>235</v>
      </c>
      <c r="O16" s="16" t="n">
        <v>9415</v>
      </c>
      <c r="P16" s="16" t="n">
        <v>10097</v>
      </c>
      <c r="Q16" s="16" t="n">
        <v>273</v>
      </c>
      <c r="T16" s="10" t="n">
        <v>5</v>
      </c>
      <c r="U16" s="16" t="n">
        <v>134</v>
      </c>
      <c r="Z16" s="10" t="s">
        <v>236</v>
      </c>
      <c r="AA16" s="16" t="n">
        <v>555</v>
      </c>
      <c r="AB16" s="16" t="n">
        <v>572</v>
      </c>
    </row>
    <row r="17" customFormat="false" ht="15" hidden="false" customHeight="false" outlineLevel="0" collapsed="false">
      <c r="A17" s="10" t="s">
        <v>237</v>
      </c>
      <c r="B17" s="16" t="n">
        <v>4701</v>
      </c>
      <c r="C17" s="16" t="n">
        <v>5351</v>
      </c>
      <c r="D17" s="16" t="n">
        <v>56</v>
      </c>
      <c r="H17" s="10" t="n">
        <v>11</v>
      </c>
      <c r="I17" s="16" t="n">
        <v>3384</v>
      </c>
      <c r="J17" s="16" t="n">
        <v>3848</v>
      </c>
      <c r="K17" s="16" t="n">
        <v>33</v>
      </c>
      <c r="N17" s="10" t="s">
        <v>238</v>
      </c>
      <c r="O17" s="16" t="n">
        <v>7091</v>
      </c>
      <c r="P17" s="16" t="n">
        <v>7299</v>
      </c>
      <c r="Q17" s="16" t="n">
        <v>54</v>
      </c>
      <c r="T17" s="10" t="n">
        <v>6</v>
      </c>
      <c r="U17" s="16" t="n">
        <v>61</v>
      </c>
      <c r="Z17" s="10" t="s">
        <v>239</v>
      </c>
      <c r="AA17" s="16" t="n">
        <v>542</v>
      </c>
      <c r="AB17" s="16" t="n">
        <v>562</v>
      </c>
    </row>
    <row r="18" customFormat="false" ht="15" hidden="false" customHeight="false" outlineLevel="0" collapsed="false">
      <c r="A18" s="10" t="s">
        <v>240</v>
      </c>
      <c r="B18" s="16" t="n">
        <v>5652</v>
      </c>
      <c r="C18" s="16" t="n">
        <v>6505</v>
      </c>
      <c r="D18" s="16" t="n">
        <v>53</v>
      </c>
      <c r="H18" s="10" t="n">
        <v>12</v>
      </c>
      <c r="I18" s="16" t="n">
        <v>4116</v>
      </c>
      <c r="J18" s="16" t="n">
        <v>4662</v>
      </c>
      <c r="K18" s="16" t="n">
        <v>43</v>
      </c>
      <c r="N18" s="10" t="s">
        <v>241</v>
      </c>
      <c r="O18" s="16" t="n">
        <v>7073</v>
      </c>
      <c r="P18" s="16" t="n">
        <v>9399</v>
      </c>
      <c r="Q18" s="16" t="n">
        <v>60</v>
      </c>
      <c r="T18" s="10" t="n">
        <v>7</v>
      </c>
      <c r="U18" s="16" t="n">
        <v>23</v>
      </c>
      <c r="Z18" s="10" t="s">
        <v>242</v>
      </c>
      <c r="AA18" s="16" t="n">
        <v>679</v>
      </c>
      <c r="AB18" s="16" t="n">
        <v>775</v>
      </c>
    </row>
    <row r="19" customFormat="false" ht="15" hidden="false" customHeight="false" outlineLevel="0" collapsed="false">
      <c r="A19" s="10" t="s">
        <v>243</v>
      </c>
      <c r="B19" s="16" t="n">
        <v>5263</v>
      </c>
      <c r="C19" s="16" t="n">
        <v>5982</v>
      </c>
      <c r="D19" s="16" t="n">
        <v>61</v>
      </c>
      <c r="H19" s="10" t="n">
        <v>13</v>
      </c>
      <c r="I19" s="16" t="n">
        <v>4181</v>
      </c>
      <c r="J19" s="16" t="n">
        <v>4758</v>
      </c>
      <c r="K19" s="16" t="n">
        <v>25</v>
      </c>
      <c r="N19" s="10" t="s">
        <v>244</v>
      </c>
      <c r="O19" s="16" t="n">
        <v>3633</v>
      </c>
      <c r="P19" s="16" t="n">
        <v>4695</v>
      </c>
      <c r="Q19" s="16" t="n">
        <v>6</v>
      </c>
      <c r="T19" s="10" t="n">
        <v>8</v>
      </c>
      <c r="U19" s="16" t="n">
        <v>19</v>
      </c>
      <c r="Z19" s="10" t="s">
        <v>245</v>
      </c>
      <c r="AA19" s="16" t="n">
        <v>728</v>
      </c>
      <c r="AB19" s="16" t="n">
        <v>803</v>
      </c>
    </row>
    <row r="20" customFormat="false" ht="15" hidden="false" customHeight="false" outlineLevel="0" collapsed="false">
      <c r="A20" s="10" t="s">
        <v>246</v>
      </c>
      <c r="B20" s="16" t="n">
        <v>5325</v>
      </c>
      <c r="C20" s="16" t="n">
        <v>6061</v>
      </c>
      <c r="D20" s="16" t="n">
        <v>67</v>
      </c>
      <c r="H20" s="10" t="n">
        <v>14</v>
      </c>
      <c r="I20" s="16" t="n">
        <v>4458</v>
      </c>
      <c r="J20" s="16" t="n">
        <v>5022</v>
      </c>
      <c r="K20" s="16" t="n">
        <v>43</v>
      </c>
      <c r="N20" s="10" t="s">
        <v>247</v>
      </c>
      <c r="O20" s="16" t="n">
        <v>810</v>
      </c>
      <c r="P20" s="16" t="n">
        <v>1071</v>
      </c>
      <c r="Q20" s="16" t="n">
        <v>1</v>
      </c>
      <c r="T20" s="10" t="n">
        <v>9</v>
      </c>
      <c r="U20" s="16" t="n">
        <v>3</v>
      </c>
      <c r="Z20" s="10" t="s">
        <v>248</v>
      </c>
      <c r="AA20" s="16" t="n">
        <v>493</v>
      </c>
      <c r="AB20" s="16" t="n">
        <v>555</v>
      </c>
    </row>
    <row r="21" customFormat="false" ht="15" hidden="false" customHeight="false" outlineLevel="0" collapsed="false">
      <c r="A21" s="10" t="s">
        <v>249</v>
      </c>
      <c r="B21" s="16" t="n">
        <v>5366</v>
      </c>
      <c r="C21" s="16" t="n">
        <v>6092</v>
      </c>
      <c r="D21" s="16" t="n">
        <v>56</v>
      </c>
      <c r="H21" s="10" t="n">
        <v>15</v>
      </c>
      <c r="I21" s="16" t="n">
        <v>4361</v>
      </c>
      <c r="J21" s="16" t="n">
        <v>4944</v>
      </c>
      <c r="K21" s="16" t="n">
        <v>25</v>
      </c>
      <c r="N21" s="10" t="s">
        <v>250</v>
      </c>
      <c r="O21" s="16" t="n">
        <v>697</v>
      </c>
      <c r="P21" s="16" t="n">
        <v>958</v>
      </c>
      <c r="Q21" s="16" t="n">
        <v>8</v>
      </c>
      <c r="T21" s="10" t="s">
        <v>251</v>
      </c>
      <c r="U21" s="16" t="n">
        <v>16</v>
      </c>
      <c r="Z21" s="10" t="s">
        <v>252</v>
      </c>
      <c r="AA21" s="16" t="n">
        <v>194</v>
      </c>
      <c r="AB21" s="16" t="n">
        <v>214</v>
      </c>
    </row>
    <row r="22" customFormat="false" ht="15" hidden="false" customHeight="false" outlineLevel="0" collapsed="false">
      <c r="A22" s="10" t="s">
        <v>253</v>
      </c>
      <c r="B22" s="16" t="n">
        <v>5528</v>
      </c>
      <c r="C22" s="16" t="n">
        <v>6345</v>
      </c>
      <c r="D22" s="16" t="n">
        <v>53</v>
      </c>
      <c r="H22" s="10" t="n">
        <v>16</v>
      </c>
      <c r="I22" s="16" t="n">
        <v>4610</v>
      </c>
      <c r="J22" s="16" t="n">
        <v>5208</v>
      </c>
      <c r="K22" s="16" t="n">
        <v>31</v>
      </c>
      <c r="N22" s="10" t="s">
        <v>254</v>
      </c>
      <c r="O22" s="16" t="n">
        <v>531</v>
      </c>
      <c r="P22" s="16" t="n">
        <v>681</v>
      </c>
      <c r="Q22" s="16" t="n">
        <v>3</v>
      </c>
      <c r="Z22" s="10" t="s">
        <v>255</v>
      </c>
      <c r="AA22" s="16" t="n">
        <v>328</v>
      </c>
      <c r="AB22" s="16" t="n">
        <v>369</v>
      </c>
    </row>
    <row r="23" customFormat="false" ht="15" hidden="false" customHeight="false" outlineLevel="0" collapsed="false">
      <c r="A23" s="10" t="s">
        <v>256</v>
      </c>
      <c r="B23" s="16" t="n">
        <v>5793</v>
      </c>
      <c r="C23" s="16" t="n">
        <v>6510</v>
      </c>
      <c r="D23" s="16" t="n">
        <v>64</v>
      </c>
      <c r="H23" s="10" t="n">
        <v>17</v>
      </c>
      <c r="I23" s="16" t="n">
        <v>4748</v>
      </c>
      <c r="J23" s="16" t="n">
        <v>5365</v>
      </c>
      <c r="K23" s="16" t="n">
        <v>33</v>
      </c>
      <c r="N23" s="10" t="s">
        <v>257</v>
      </c>
      <c r="O23" s="16" t="n">
        <v>498</v>
      </c>
      <c r="P23" s="16" t="n">
        <v>975</v>
      </c>
      <c r="Q23" s="16" t="n">
        <v>4</v>
      </c>
      <c r="Z23" s="10" t="s">
        <v>258</v>
      </c>
      <c r="AA23" s="16" t="n">
        <v>325</v>
      </c>
      <c r="AB23" s="16" t="n">
        <v>358</v>
      </c>
    </row>
    <row r="24" customFormat="false" ht="15" hidden="false" customHeight="false" outlineLevel="0" collapsed="false">
      <c r="A24" s="10" t="s">
        <v>259</v>
      </c>
      <c r="B24" s="16" t="n">
        <v>5683</v>
      </c>
      <c r="C24" s="16" t="n">
        <v>6415</v>
      </c>
      <c r="D24" s="16" t="n">
        <v>55</v>
      </c>
      <c r="H24" s="10" t="n">
        <v>18</v>
      </c>
      <c r="I24" s="16" t="n">
        <v>4421</v>
      </c>
      <c r="J24" s="16" t="n">
        <v>5000</v>
      </c>
      <c r="K24" s="16" t="n">
        <v>31</v>
      </c>
      <c r="N24" s="10" t="s">
        <v>260</v>
      </c>
      <c r="O24" s="16" t="n">
        <v>250</v>
      </c>
      <c r="P24" s="16" t="n">
        <v>334</v>
      </c>
      <c r="Q24" s="16" t="n">
        <v>5</v>
      </c>
      <c r="T24" s="15" t="s">
        <v>261</v>
      </c>
      <c r="Z24" s="10" t="s">
        <v>262</v>
      </c>
      <c r="AA24" s="16" t="n">
        <v>359</v>
      </c>
      <c r="AB24" s="16" t="n">
        <v>387</v>
      </c>
    </row>
    <row r="25" customFormat="false" ht="15" hidden="false" customHeight="false" outlineLevel="0" collapsed="false">
      <c r="A25" s="10" t="s">
        <v>263</v>
      </c>
      <c r="B25" s="16" t="n">
        <v>6192</v>
      </c>
      <c r="C25" s="16" t="n">
        <v>7182</v>
      </c>
      <c r="D25" s="16" t="n">
        <v>47</v>
      </c>
      <c r="H25" s="10" t="n">
        <v>19</v>
      </c>
      <c r="I25" s="16" t="n">
        <v>3719</v>
      </c>
      <c r="J25" s="16" t="n">
        <v>4161</v>
      </c>
      <c r="K25" s="16" t="n">
        <v>37</v>
      </c>
      <c r="N25" s="10" t="s">
        <v>264</v>
      </c>
      <c r="O25" s="16" t="n">
        <v>207</v>
      </c>
      <c r="P25" s="16" t="n">
        <v>214</v>
      </c>
      <c r="Q25" s="16" t="n">
        <v>1</v>
      </c>
      <c r="T25" s="3" t="s">
        <v>265</v>
      </c>
      <c r="U25" s="3" t="s">
        <v>201</v>
      </c>
      <c r="V25" s="3" t="s">
        <v>202</v>
      </c>
      <c r="W25" s="3" t="s">
        <v>205</v>
      </c>
      <c r="Z25" s="10" t="s">
        <v>266</v>
      </c>
      <c r="AA25" s="16" t="n">
        <v>442</v>
      </c>
      <c r="AB25" s="16" t="n">
        <v>488</v>
      </c>
    </row>
    <row r="26" customFormat="false" ht="15" hidden="false" customHeight="false" outlineLevel="0" collapsed="false">
      <c r="A26" s="10" t="s">
        <v>267</v>
      </c>
      <c r="B26" s="16" t="n">
        <v>5690</v>
      </c>
      <c r="C26" s="16" t="n">
        <v>6462</v>
      </c>
      <c r="D26" s="16" t="n">
        <v>55</v>
      </c>
      <c r="H26" s="10" t="n">
        <v>20</v>
      </c>
      <c r="I26" s="16" t="n">
        <v>3231</v>
      </c>
      <c r="J26" s="16" t="n">
        <v>3679</v>
      </c>
      <c r="K26" s="16" t="n">
        <v>29</v>
      </c>
      <c r="N26" s="10" t="s">
        <v>268</v>
      </c>
      <c r="O26" s="16" t="n">
        <v>129</v>
      </c>
      <c r="P26" s="16" t="n">
        <v>157</v>
      </c>
      <c r="Q26" s="16" t="n">
        <v>0</v>
      </c>
      <c r="T26" s="10" t="s">
        <v>241</v>
      </c>
      <c r="U26" s="16" t="n">
        <v>29996</v>
      </c>
      <c r="V26" s="16" t="n">
        <v>33872</v>
      </c>
      <c r="W26" s="16" t="n">
        <v>203</v>
      </c>
      <c r="Z26" s="10" t="s">
        <v>269</v>
      </c>
      <c r="AA26" s="16" t="n">
        <v>497</v>
      </c>
      <c r="AB26" s="16" t="n">
        <v>547</v>
      </c>
    </row>
    <row r="27" customFormat="false" ht="15" hidden="false" customHeight="false" outlineLevel="0" collapsed="false">
      <c r="A27" s="10" t="s">
        <v>270</v>
      </c>
      <c r="B27" s="16" t="n">
        <v>5998</v>
      </c>
      <c r="C27" s="16" t="n">
        <v>6955</v>
      </c>
      <c r="D27" s="16" t="n">
        <v>73</v>
      </c>
      <c r="H27" s="10" t="n">
        <v>21</v>
      </c>
      <c r="I27" s="16" t="n">
        <v>2708</v>
      </c>
      <c r="J27" s="16" t="n">
        <v>3072</v>
      </c>
      <c r="K27" s="16" t="n">
        <v>20</v>
      </c>
      <c r="T27" s="10" t="s">
        <v>216</v>
      </c>
      <c r="U27" s="16" t="n">
        <v>14067</v>
      </c>
      <c r="V27" s="16" t="n">
        <v>15831</v>
      </c>
      <c r="W27" s="16" t="n">
        <v>10</v>
      </c>
      <c r="Z27" s="10" t="s">
        <v>271</v>
      </c>
      <c r="AA27" s="16" t="n">
        <v>585</v>
      </c>
      <c r="AB27" s="16" t="n">
        <v>739</v>
      </c>
    </row>
    <row r="28" customFormat="false" ht="15" hidden="false" customHeight="false" outlineLevel="0" collapsed="false">
      <c r="H28" s="10" t="n">
        <v>22</v>
      </c>
      <c r="I28" s="16" t="n">
        <v>2224</v>
      </c>
      <c r="J28" s="16" t="n">
        <v>2542</v>
      </c>
      <c r="K28" s="16" t="n">
        <v>18</v>
      </c>
      <c r="T28" s="10" t="s">
        <v>244</v>
      </c>
      <c r="U28" s="16" t="n">
        <v>6035</v>
      </c>
      <c r="V28" s="16" t="n">
        <v>7283</v>
      </c>
      <c r="W28" s="16" t="n">
        <v>145</v>
      </c>
      <c r="Z28" s="10" t="s">
        <v>272</v>
      </c>
      <c r="AA28" s="16" t="n">
        <v>690</v>
      </c>
      <c r="AB28" s="16" t="n">
        <v>799</v>
      </c>
    </row>
    <row r="29" customFormat="false" ht="15" hidden="false" customHeight="false" outlineLevel="0" collapsed="false">
      <c r="H29" s="10" t="n">
        <v>23</v>
      </c>
      <c r="I29" s="16" t="n">
        <v>1617</v>
      </c>
      <c r="J29" s="16" t="n">
        <v>1874</v>
      </c>
      <c r="K29" s="16" t="n">
        <v>27</v>
      </c>
      <c r="N29" s="15" t="s">
        <v>273</v>
      </c>
      <c r="T29" s="10" t="s">
        <v>250</v>
      </c>
      <c r="U29" s="16" t="n">
        <v>3575</v>
      </c>
      <c r="V29" s="16" t="n">
        <v>4047</v>
      </c>
      <c r="W29" s="16" t="n">
        <v>35</v>
      </c>
      <c r="Z29" s="10" t="s">
        <v>274</v>
      </c>
      <c r="AA29" s="16" t="n">
        <v>741</v>
      </c>
      <c r="AB29" s="16" t="n">
        <v>902</v>
      </c>
    </row>
    <row r="30" customFormat="false" ht="15" hidden="false" customHeight="false" outlineLevel="0" collapsed="false">
      <c r="A30" s="15" t="s">
        <v>275</v>
      </c>
      <c r="H30" s="10" t="s">
        <v>216</v>
      </c>
      <c r="I30" s="16" t="n">
        <v>81</v>
      </c>
      <c r="J30" s="16" t="n">
        <v>96</v>
      </c>
      <c r="K30" s="16" t="n">
        <v>1</v>
      </c>
      <c r="N30" s="3" t="s">
        <v>276</v>
      </c>
      <c r="O30" s="3" t="s">
        <v>201</v>
      </c>
      <c r="P30" s="3" t="s">
        <v>202</v>
      </c>
      <c r="Q30" s="3" t="s">
        <v>205</v>
      </c>
      <c r="T30" s="10" t="s">
        <v>230</v>
      </c>
      <c r="U30" s="16" t="n">
        <v>3496</v>
      </c>
      <c r="V30" s="16" t="n">
        <v>4084</v>
      </c>
      <c r="W30" s="16" t="n">
        <v>52</v>
      </c>
      <c r="Z30" s="10" t="s">
        <v>277</v>
      </c>
      <c r="AA30" s="16" t="n">
        <v>534</v>
      </c>
      <c r="AB30" s="16" t="n">
        <v>601</v>
      </c>
    </row>
    <row r="31" customFormat="false" ht="15" hidden="false" customHeight="false" outlineLevel="0" collapsed="false">
      <c r="A31" s="3" t="s">
        <v>278</v>
      </c>
      <c r="B31" s="3" t="s">
        <v>201</v>
      </c>
      <c r="C31" s="3" t="s">
        <v>202</v>
      </c>
      <c r="D31" s="3" t="s">
        <v>205</v>
      </c>
      <c r="N31" s="10" t="s">
        <v>279</v>
      </c>
      <c r="O31" s="16" t="n">
        <v>7241</v>
      </c>
      <c r="P31" s="16" t="n">
        <v>8128</v>
      </c>
      <c r="Q31" s="16" t="n">
        <v>75</v>
      </c>
      <c r="T31" s="10" t="s">
        <v>247</v>
      </c>
      <c r="U31" s="16" t="n">
        <v>2624</v>
      </c>
      <c r="V31" s="16" t="n">
        <v>2891</v>
      </c>
      <c r="W31" s="16" t="n">
        <v>7</v>
      </c>
      <c r="Z31" s="10" t="s">
        <v>280</v>
      </c>
      <c r="AA31" s="16" t="n">
        <v>484</v>
      </c>
      <c r="AB31" s="16" t="n">
        <v>571</v>
      </c>
    </row>
    <row r="32" customFormat="false" ht="15" hidden="false" customHeight="false" outlineLevel="0" collapsed="false">
      <c r="A32" s="10" t="s">
        <v>281</v>
      </c>
      <c r="B32" s="16" t="n">
        <v>9670</v>
      </c>
      <c r="C32" s="16" t="n">
        <v>11050</v>
      </c>
      <c r="D32" s="16" t="n">
        <v>96</v>
      </c>
      <c r="N32" s="10" t="s">
        <v>282</v>
      </c>
      <c r="O32" s="16" t="n">
        <v>5214</v>
      </c>
      <c r="P32" s="16" t="n">
        <v>5841</v>
      </c>
      <c r="Q32" s="16" t="n">
        <v>45</v>
      </c>
      <c r="T32" s="10" t="s">
        <v>260</v>
      </c>
      <c r="U32" s="16" t="n">
        <v>2579</v>
      </c>
      <c r="V32" s="16" t="n">
        <v>2978</v>
      </c>
      <c r="W32" s="16" t="n">
        <v>125</v>
      </c>
      <c r="Z32" s="10" t="s">
        <v>283</v>
      </c>
      <c r="AA32" s="16" t="n">
        <v>719</v>
      </c>
      <c r="AB32" s="16" t="n">
        <v>817</v>
      </c>
    </row>
    <row r="33" customFormat="false" ht="15" hidden="false" customHeight="false" outlineLevel="0" collapsed="false">
      <c r="A33" s="10" t="s">
        <v>284</v>
      </c>
      <c r="B33" s="16" t="n">
        <v>10319</v>
      </c>
      <c r="C33" s="16" t="n">
        <v>11692</v>
      </c>
      <c r="D33" s="16" t="n">
        <v>107</v>
      </c>
      <c r="H33" s="15" t="s">
        <v>285</v>
      </c>
      <c r="N33" s="10" t="s">
        <v>286</v>
      </c>
      <c r="O33" s="16" t="n">
        <v>4858</v>
      </c>
      <c r="P33" s="16" t="n">
        <v>5413</v>
      </c>
      <c r="Q33" s="16" t="n">
        <v>43</v>
      </c>
      <c r="T33" s="10" t="s">
        <v>287</v>
      </c>
      <c r="U33" s="16" t="n">
        <v>1521</v>
      </c>
      <c r="V33" s="16" t="n">
        <v>1823</v>
      </c>
      <c r="W33" s="16" t="n">
        <v>87</v>
      </c>
      <c r="Z33" s="10" t="s">
        <v>288</v>
      </c>
      <c r="AA33" s="16" t="n">
        <v>609</v>
      </c>
      <c r="AB33" s="16" t="n">
        <v>701</v>
      </c>
    </row>
    <row r="34" customFormat="false" ht="15" hidden="false" customHeight="false" outlineLevel="0" collapsed="false">
      <c r="A34" s="10" t="s">
        <v>289</v>
      </c>
      <c r="B34" s="16" t="n">
        <v>10391</v>
      </c>
      <c r="C34" s="16" t="n">
        <v>11641</v>
      </c>
      <c r="D34" s="16" t="n">
        <v>90</v>
      </c>
      <c r="H34" s="3" t="s">
        <v>290</v>
      </c>
      <c r="I34" s="3" t="s">
        <v>201</v>
      </c>
      <c r="J34" s="3" t="s">
        <v>202</v>
      </c>
      <c r="K34" s="3" t="s">
        <v>205</v>
      </c>
      <c r="N34" s="10" t="s">
        <v>291</v>
      </c>
      <c r="O34" s="16" t="n">
        <v>4562</v>
      </c>
      <c r="P34" s="16" t="n">
        <v>5418</v>
      </c>
      <c r="Q34" s="16" t="n">
        <v>75</v>
      </c>
      <c r="T34" s="10" t="s">
        <v>254</v>
      </c>
      <c r="U34" s="16" t="n">
        <v>804</v>
      </c>
      <c r="V34" s="16" t="n">
        <v>977</v>
      </c>
      <c r="W34" s="16" t="n">
        <v>7</v>
      </c>
      <c r="Z34" s="10" t="s">
        <v>292</v>
      </c>
      <c r="AA34" s="16" t="n">
        <v>301</v>
      </c>
      <c r="AB34" s="16" t="n">
        <v>302</v>
      </c>
    </row>
    <row r="35" customFormat="false" ht="15" hidden="false" customHeight="false" outlineLevel="0" collapsed="false">
      <c r="A35" s="10" t="s">
        <v>293</v>
      </c>
      <c r="B35" s="16" t="n">
        <v>10678</v>
      </c>
      <c r="C35" s="16" t="n">
        <v>12081</v>
      </c>
      <c r="D35" s="16" t="n">
        <v>124</v>
      </c>
      <c r="H35" s="10" t="s">
        <v>294</v>
      </c>
      <c r="I35" s="16" t="n">
        <v>5257</v>
      </c>
      <c r="J35" s="16" t="n">
        <v>6256</v>
      </c>
      <c r="K35" s="16" t="n">
        <v>138</v>
      </c>
      <c r="N35" s="10" t="s">
        <v>295</v>
      </c>
      <c r="O35" s="16" t="n">
        <v>4496</v>
      </c>
      <c r="P35" s="16" t="n">
        <v>5080</v>
      </c>
      <c r="Q35" s="16" t="n">
        <v>42</v>
      </c>
      <c r="T35" s="10" t="s">
        <v>238</v>
      </c>
      <c r="U35" s="16" t="n">
        <v>390</v>
      </c>
      <c r="V35" s="16" t="n">
        <v>423</v>
      </c>
      <c r="W35" s="16" t="n">
        <v>6</v>
      </c>
      <c r="Z35" s="10" t="s">
        <v>296</v>
      </c>
      <c r="AA35" s="16" t="n">
        <v>674</v>
      </c>
      <c r="AB35" s="16" t="n">
        <v>756</v>
      </c>
    </row>
    <row r="36" customFormat="false" ht="15" hidden="false" customHeight="false" outlineLevel="0" collapsed="false">
      <c r="A36" s="10" t="s">
        <v>123</v>
      </c>
      <c r="B36" s="16" t="n">
        <v>11120</v>
      </c>
      <c r="C36" s="16" t="n">
        <v>12560</v>
      </c>
      <c r="D36" s="16" t="n">
        <v>97</v>
      </c>
      <c r="H36" s="10" t="s">
        <v>297</v>
      </c>
      <c r="I36" s="16" t="n">
        <v>16086</v>
      </c>
      <c r="J36" s="16" t="n">
        <v>18554</v>
      </c>
      <c r="K36" s="16" t="n">
        <v>202</v>
      </c>
      <c r="N36" s="10" t="s">
        <v>298</v>
      </c>
      <c r="O36" s="16" t="n">
        <v>4450</v>
      </c>
      <c r="P36" s="16" t="n">
        <v>5335</v>
      </c>
      <c r="Q36" s="16" t="n">
        <v>56</v>
      </c>
      <c r="T36" s="10" t="s">
        <v>299</v>
      </c>
      <c r="U36" s="16" t="n">
        <v>347</v>
      </c>
      <c r="V36" s="16" t="n">
        <v>524</v>
      </c>
      <c r="W36" s="16" t="n">
        <v>13</v>
      </c>
      <c r="Z36" s="10" t="s">
        <v>300</v>
      </c>
      <c r="AA36" s="16" t="n">
        <v>701</v>
      </c>
      <c r="AB36" s="16" t="n">
        <v>810</v>
      </c>
    </row>
    <row r="37" customFormat="false" ht="15" hidden="false" customHeight="false" outlineLevel="0" collapsed="false">
      <c r="A37" s="10" t="s">
        <v>301</v>
      </c>
      <c r="B37" s="16" t="n">
        <v>7791</v>
      </c>
      <c r="C37" s="16" t="n">
        <v>9038</v>
      </c>
      <c r="D37" s="16" t="n">
        <v>107</v>
      </c>
      <c r="H37" s="10" t="s">
        <v>302</v>
      </c>
      <c r="I37" s="16" t="n">
        <v>26474</v>
      </c>
      <c r="J37" s="16" t="n">
        <v>29959</v>
      </c>
      <c r="K37" s="16" t="n">
        <v>200</v>
      </c>
      <c r="N37" s="10" t="s">
        <v>303</v>
      </c>
      <c r="O37" s="16" t="n">
        <v>4368</v>
      </c>
      <c r="P37" s="16" t="n">
        <v>5033</v>
      </c>
      <c r="Q37" s="16" t="n">
        <v>55</v>
      </c>
      <c r="T37" s="10" t="s">
        <v>268</v>
      </c>
      <c r="U37" s="16" t="n">
        <v>204</v>
      </c>
      <c r="V37" s="16" t="n">
        <v>254</v>
      </c>
      <c r="W37" s="16" t="n">
        <v>2</v>
      </c>
      <c r="Z37" s="10" t="s">
        <v>304</v>
      </c>
      <c r="AA37" s="16" t="n">
        <v>807</v>
      </c>
      <c r="AB37" s="16" t="n">
        <v>912</v>
      </c>
    </row>
    <row r="38" customFormat="false" ht="15" hidden="false" customHeight="false" outlineLevel="0" collapsed="false">
      <c r="A38" s="10" t="s">
        <v>305</v>
      </c>
      <c r="B38" s="16" t="n">
        <v>5849</v>
      </c>
      <c r="C38" s="16" t="n">
        <v>7131</v>
      </c>
      <c r="D38" s="16" t="n">
        <v>82</v>
      </c>
      <c r="H38" s="10" t="s">
        <v>306</v>
      </c>
      <c r="I38" s="16" t="n">
        <v>17920</v>
      </c>
      <c r="J38" s="16" t="n">
        <v>20328</v>
      </c>
      <c r="K38" s="16" t="n">
        <v>162</v>
      </c>
      <c r="N38" s="10" t="s">
        <v>307</v>
      </c>
      <c r="O38" s="16" t="n">
        <v>4310</v>
      </c>
      <c r="P38" s="16" t="n">
        <v>4983</v>
      </c>
      <c r="Q38" s="16" t="n">
        <v>43</v>
      </c>
      <c r="T38" s="10" t="s">
        <v>308</v>
      </c>
      <c r="U38" s="16" t="n">
        <v>74</v>
      </c>
      <c r="V38" s="16" t="n">
        <v>88</v>
      </c>
      <c r="W38" s="16" t="n">
        <v>0</v>
      </c>
      <c r="Z38" s="10" t="s">
        <v>309</v>
      </c>
      <c r="AA38" s="16" t="n">
        <v>661</v>
      </c>
      <c r="AB38" s="16" t="n">
        <v>766</v>
      </c>
    </row>
    <row r="39" customFormat="false" ht="15" hidden="false" customHeight="false" outlineLevel="0" collapsed="false">
      <c r="H39" s="10" t="s">
        <v>216</v>
      </c>
      <c r="I39" s="16" t="n">
        <v>81</v>
      </c>
      <c r="J39" s="16" t="n">
        <v>96</v>
      </c>
      <c r="K39" s="16" t="n">
        <v>1</v>
      </c>
      <c r="N39" s="10" t="s">
        <v>310</v>
      </c>
      <c r="O39" s="16" t="n">
        <v>3965</v>
      </c>
      <c r="P39" s="16" t="n">
        <v>4421</v>
      </c>
      <c r="Q39" s="16" t="n">
        <v>45</v>
      </c>
      <c r="T39" s="10" t="s">
        <v>264</v>
      </c>
      <c r="U39" s="16" t="n">
        <v>57</v>
      </c>
      <c r="V39" s="16" t="n">
        <v>60</v>
      </c>
      <c r="W39" s="16" t="n">
        <v>1</v>
      </c>
      <c r="Z39" s="10" t="s">
        <v>311</v>
      </c>
      <c r="AA39" s="16" t="n">
        <v>833</v>
      </c>
      <c r="AB39" s="16" t="n">
        <v>992</v>
      </c>
    </row>
    <row r="40" customFormat="false" ht="15" hidden="false" customHeight="false" outlineLevel="0" collapsed="false">
      <c r="N40" s="10" t="s">
        <v>312</v>
      </c>
      <c r="O40" s="16" t="n">
        <v>3776</v>
      </c>
      <c r="P40" s="16" t="n">
        <v>4332</v>
      </c>
      <c r="Q40" s="16" t="n">
        <v>53</v>
      </c>
      <c r="T40" s="10" t="s">
        <v>235</v>
      </c>
      <c r="U40" s="16" t="n">
        <v>36</v>
      </c>
      <c r="V40" s="16" t="n">
        <v>44</v>
      </c>
      <c r="W40" s="16" t="n">
        <v>0</v>
      </c>
      <c r="Z40" s="10" t="s">
        <v>313</v>
      </c>
      <c r="AA40" s="16" t="n">
        <v>660</v>
      </c>
      <c r="AB40" s="16" t="n">
        <v>779</v>
      </c>
    </row>
    <row r="41" customFormat="false" ht="15" hidden="false" customHeight="false" outlineLevel="0" collapsed="false">
      <c r="N41" s="10" t="s">
        <v>216</v>
      </c>
      <c r="O41" s="16" t="n">
        <v>3552</v>
      </c>
      <c r="P41" s="16" t="n">
        <v>3981</v>
      </c>
      <c r="Q41" s="16" t="n">
        <v>0</v>
      </c>
      <c r="T41" s="10" t="s">
        <v>314</v>
      </c>
      <c r="U41" s="16" t="n">
        <v>13</v>
      </c>
      <c r="V41" s="16" t="n">
        <v>14</v>
      </c>
      <c r="W41" s="16" t="n">
        <v>10</v>
      </c>
      <c r="Z41" s="10" t="s">
        <v>315</v>
      </c>
      <c r="AA41" s="16" t="n">
        <v>835</v>
      </c>
      <c r="AB41" s="16" t="n">
        <v>1046</v>
      </c>
    </row>
    <row r="42" customFormat="false" ht="15" hidden="false" customHeight="false" outlineLevel="0" collapsed="false">
      <c r="N42" s="10" t="s">
        <v>316</v>
      </c>
      <c r="O42" s="16" t="n">
        <v>3531</v>
      </c>
      <c r="P42" s="16" t="n">
        <v>3985</v>
      </c>
      <c r="Q42" s="16" t="n">
        <v>31</v>
      </c>
      <c r="Z42" s="10" t="s">
        <v>317</v>
      </c>
      <c r="AA42" s="16" t="n">
        <v>563</v>
      </c>
      <c r="AB42" s="16" t="n">
        <v>644</v>
      </c>
    </row>
    <row r="43" customFormat="false" ht="15" hidden="false" customHeight="false" outlineLevel="0" collapsed="false">
      <c r="N43" s="10" t="s">
        <v>318</v>
      </c>
      <c r="O43" s="16" t="n">
        <v>3285</v>
      </c>
      <c r="P43" s="16" t="n">
        <v>3652</v>
      </c>
      <c r="Q43" s="16" t="n">
        <v>31</v>
      </c>
      <c r="Z43" s="10" t="s">
        <v>319</v>
      </c>
      <c r="AA43" s="16" t="n">
        <v>628</v>
      </c>
      <c r="AB43" s="16" t="n">
        <v>698</v>
      </c>
    </row>
    <row r="44" customFormat="false" ht="15" hidden="false" customHeight="false" outlineLevel="0" collapsed="false">
      <c r="N44" s="10" t="s">
        <v>320</v>
      </c>
      <c r="O44" s="16" t="n">
        <v>3088</v>
      </c>
      <c r="P44" s="16" t="n">
        <v>3884</v>
      </c>
      <c r="Q44" s="16" t="n">
        <v>65</v>
      </c>
      <c r="Z44" s="10" t="s">
        <v>321</v>
      </c>
      <c r="AA44" s="16" t="n">
        <v>867</v>
      </c>
      <c r="AB44" s="16" t="n">
        <v>972</v>
      </c>
    </row>
    <row r="45" customFormat="false" ht="15" hidden="false" customHeight="false" outlineLevel="0" collapsed="false">
      <c r="N45" s="10" t="s">
        <v>322</v>
      </c>
      <c r="O45" s="16" t="n">
        <v>2772</v>
      </c>
      <c r="P45" s="16" t="n">
        <v>3125</v>
      </c>
      <c r="Q45" s="16" t="n">
        <v>20</v>
      </c>
      <c r="Z45" s="10" t="s">
        <v>323</v>
      </c>
      <c r="AA45" s="16" t="n">
        <v>852</v>
      </c>
      <c r="AB45" s="16" t="n">
        <v>987</v>
      </c>
    </row>
    <row r="46" customFormat="false" ht="15" hidden="false" customHeight="false" outlineLevel="0" collapsed="false">
      <c r="N46" s="10" t="s">
        <v>324</v>
      </c>
      <c r="O46" s="16" t="n">
        <v>2350</v>
      </c>
      <c r="P46" s="16" t="n">
        <v>2582</v>
      </c>
      <c r="Q46" s="16" t="n">
        <v>24</v>
      </c>
      <c r="Z46" s="10" t="s">
        <v>325</v>
      </c>
      <c r="AA46" s="16" t="n">
        <v>827</v>
      </c>
      <c r="AB46" s="16" t="n">
        <v>938</v>
      </c>
    </row>
    <row r="47" customFormat="false" ht="15" hidden="false" customHeight="false" outlineLevel="0" collapsed="false">
      <c r="Z47" s="10" t="s">
        <v>326</v>
      </c>
      <c r="AA47" s="16" t="n">
        <v>833</v>
      </c>
      <c r="AB47" s="16" t="n">
        <v>925</v>
      </c>
    </row>
    <row r="48" customFormat="false" ht="15" hidden="false" customHeight="false" outlineLevel="0" collapsed="false">
      <c r="Z48" s="10" t="s">
        <v>327</v>
      </c>
      <c r="AA48" s="16" t="n">
        <v>762</v>
      </c>
      <c r="AB48" s="16" t="n">
        <v>853</v>
      </c>
    </row>
    <row r="49" customFormat="false" ht="15" hidden="false" customHeight="false" outlineLevel="0" collapsed="false">
      <c r="Z49" s="10" t="s">
        <v>328</v>
      </c>
      <c r="AA49" s="16" t="n">
        <v>828</v>
      </c>
      <c r="AB49" s="16" t="n">
        <v>856</v>
      </c>
    </row>
    <row r="50" customFormat="false" ht="15" hidden="false" customHeight="false" outlineLevel="0" collapsed="false">
      <c r="Z50" s="10" t="s">
        <v>329</v>
      </c>
      <c r="AA50" s="16" t="n">
        <v>904</v>
      </c>
      <c r="AB50" s="16" t="n">
        <v>1010</v>
      </c>
    </row>
    <row r="51" customFormat="false" ht="15" hidden="false" customHeight="false" outlineLevel="0" collapsed="false">
      <c r="Z51" s="10" t="s">
        <v>330</v>
      </c>
      <c r="AA51" s="16" t="n">
        <v>847</v>
      </c>
      <c r="AB51" s="16" t="n">
        <v>964</v>
      </c>
    </row>
    <row r="52" customFormat="false" ht="15" hidden="false" customHeight="false" outlineLevel="0" collapsed="false">
      <c r="Z52" s="10" t="s">
        <v>331</v>
      </c>
      <c r="AA52" s="16" t="n">
        <v>831</v>
      </c>
      <c r="AB52" s="16" t="n">
        <v>908</v>
      </c>
    </row>
    <row r="53" customFormat="false" ht="15" hidden="false" customHeight="false" outlineLevel="0" collapsed="false">
      <c r="Z53" s="10" t="s">
        <v>332</v>
      </c>
      <c r="AA53" s="16" t="n">
        <v>794</v>
      </c>
      <c r="AB53" s="16" t="n">
        <v>892</v>
      </c>
    </row>
    <row r="54" customFormat="false" ht="15" hidden="false" customHeight="false" outlineLevel="0" collapsed="false">
      <c r="Z54" s="10" t="s">
        <v>333</v>
      </c>
      <c r="AA54" s="16" t="n">
        <v>609</v>
      </c>
      <c r="AB54" s="16" t="n">
        <v>691</v>
      </c>
    </row>
    <row r="55" customFormat="false" ht="15" hidden="false" customHeight="false" outlineLevel="0" collapsed="false">
      <c r="Z55" s="10" t="s">
        <v>334</v>
      </c>
      <c r="AA55" s="16" t="n">
        <v>606</v>
      </c>
      <c r="AB55" s="16" t="n">
        <v>653</v>
      </c>
    </row>
    <row r="56" customFormat="false" ht="15" hidden="false" customHeight="false" outlineLevel="0" collapsed="false">
      <c r="Z56" s="10" t="s">
        <v>335</v>
      </c>
      <c r="AA56" s="16" t="n">
        <v>875</v>
      </c>
      <c r="AB56" s="16" t="n">
        <v>1012</v>
      </c>
    </row>
    <row r="57" customFormat="false" ht="15" hidden="false" customHeight="false" outlineLevel="0" collapsed="false">
      <c r="Z57" s="10" t="s">
        <v>336</v>
      </c>
      <c r="AA57" s="16" t="n">
        <v>809</v>
      </c>
      <c r="AB57" s="16" t="n">
        <v>914</v>
      </c>
    </row>
    <row r="58" customFormat="false" ht="15" hidden="false" customHeight="false" outlineLevel="0" collapsed="false">
      <c r="Z58" s="10" t="s">
        <v>337</v>
      </c>
      <c r="AA58" s="16" t="n">
        <v>907</v>
      </c>
      <c r="AB58" s="16" t="n">
        <v>992</v>
      </c>
    </row>
    <row r="59" customFormat="false" ht="15" hidden="false" customHeight="false" outlineLevel="0" collapsed="false">
      <c r="Z59" s="10" t="s">
        <v>338</v>
      </c>
      <c r="AA59" s="16" t="n">
        <v>857</v>
      </c>
      <c r="AB59" s="16" t="n">
        <v>935</v>
      </c>
    </row>
    <row r="60" customFormat="false" ht="15" hidden="false" customHeight="false" outlineLevel="0" collapsed="false">
      <c r="Z60" s="10" t="s">
        <v>339</v>
      </c>
      <c r="AA60" s="16" t="n">
        <v>865</v>
      </c>
      <c r="AB60" s="16" t="n">
        <v>967</v>
      </c>
    </row>
    <row r="61" customFormat="false" ht="15" hidden="false" customHeight="false" outlineLevel="0" collapsed="false">
      <c r="Z61" s="10" t="s">
        <v>340</v>
      </c>
      <c r="AA61" s="16" t="n">
        <v>866</v>
      </c>
      <c r="AB61" s="16" t="n">
        <v>968</v>
      </c>
    </row>
    <row r="62" customFormat="false" ht="15" hidden="false" customHeight="false" outlineLevel="0" collapsed="false">
      <c r="Z62" s="10" t="s">
        <v>341</v>
      </c>
      <c r="AA62" s="16" t="n">
        <v>871</v>
      </c>
      <c r="AB62" s="16" t="n">
        <v>948</v>
      </c>
    </row>
    <row r="63" customFormat="false" ht="15" hidden="false" customHeight="false" outlineLevel="0" collapsed="false">
      <c r="Z63" s="10" t="s">
        <v>342</v>
      </c>
      <c r="AA63" s="16" t="n">
        <v>912</v>
      </c>
      <c r="AB63" s="16" t="n">
        <v>994</v>
      </c>
    </row>
    <row r="64" customFormat="false" ht="15" hidden="false" customHeight="false" outlineLevel="0" collapsed="false">
      <c r="Z64" s="10" t="s">
        <v>343</v>
      </c>
      <c r="AA64" s="16" t="n">
        <v>884</v>
      </c>
      <c r="AB64" s="16" t="n">
        <v>1000</v>
      </c>
    </row>
    <row r="65" customFormat="false" ht="15" hidden="false" customHeight="false" outlineLevel="0" collapsed="false">
      <c r="Z65" s="10" t="s">
        <v>344</v>
      </c>
      <c r="AA65" s="16" t="n">
        <v>866</v>
      </c>
      <c r="AB65" s="16" t="n">
        <v>1001</v>
      </c>
    </row>
    <row r="66" customFormat="false" ht="15" hidden="false" customHeight="false" outlineLevel="0" collapsed="false">
      <c r="Z66" s="10" t="s">
        <v>345</v>
      </c>
      <c r="AA66" s="16" t="n">
        <v>710</v>
      </c>
      <c r="AB66" s="16" t="n">
        <v>830</v>
      </c>
    </row>
    <row r="67" customFormat="false" ht="15" hidden="false" customHeight="false" outlineLevel="0" collapsed="false">
      <c r="Z67" s="10" t="s">
        <v>346</v>
      </c>
      <c r="AA67" s="16" t="n">
        <v>714</v>
      </c>
      <c r="AB67" s="16" t="n">
        <v>854</v>
      </c>
    </row>
    <row r="68" customFormat="false" ht="15" hidden="false" customHeight="false" outlineLevel="0" collapsed="false">
      <c r="Z68" s="10" t="s">
        <v>347</v>
      </c>
      <c r="AA68" s="16" t="n">
        <v>823</v>
      </c>
      <c r="AB68" s="16" t="n">
        <v>973</v>
      </c>
    </row>
    <row r="69" customFormat="false" ht="15" hidden="false" customHeight="false" outlineLevel="0" collapsed="false">
      <c r="Z69" s="10" t="s">
        <v>348</v>
      </c>
      <c r="AA69" s="16" t="n">
        <v>834</v>
      </c>
      <c r="AB69" s="16" t="n">
        <v>916</v>
      </c>
    </row>
    <row r="70" customFormat="false" ht="15" hidden="false" customHeight="false" outlineLevel="0" collapsed="false">
      <c r="Z70" s="10" t="s">
        <v>349</v>
      </c>
      <c r="AA70" s="16" t="n">
        <v>923</v>
      </c>
      <c r="AB70" s="16" t="n">
        <v>1106</v>
      </c>
    </row>
    <row r="71" customFormat="false" ht="15" hidden="false" customHeight="false" outlineLevel="0" collapsed="false">
      <c r="Z71" s="10" t="s">
        <v>350</v>
      </c>
      <c r="AA71" s="16" t="n">
        <v>804</v>
      </c>
      <c r="AB71" s="16" t="n">
        <v>982</v>
      </c>
    </row>
    <row r="72" customFormat="false" ht="15" hidden="false" customHeight="false" outlineLevel="0" collapsed="false">
      <c r="Z72" s="10" t="s">
        <v>351</v>
      </c>
      <c r="AA72" s="16" t="n">
        <v>895</v>
      </c>
      <c r="AB72" s="16" t="n">
        <v>1058</v>
      </c>
    </row>
    <row r="73" customFormat="false" ht="15" hidden="false" customHeight="false" outlineLevel="0" collapsed="false">
      <c r="Z73" s="10" t="s">
        <v>352</v>
      </c>
      <c r="AA73" s="16" t="n">
        <v>917</v>
      </c>
      <c r="AB73" s="16" t="n">
        <v>1094</v>
      </c>
    </row>
    <row r="74" customFormat="false" ht="15" hidden="false" customHeight="false" outlineLevel="0" collapsed="false">
      <c r="Z74" s="10" t="s">
        <v>353</v>
      </c>
      <c r="AA74" s="16" t="n">
        <v>898</v>
      </c>
      <c r="AB74" s="16" t="n">
        <v>1032</v>
      </c>
    </row>
    <row r="75" customFormat="false" ht="15" hidden="false" customHeight="false" outlineLevel="0" collapsed="false">
      <c r="Z75" s="10" t="s">
        <v>354</v>
      </c>
      <c r="AA75" s="16" t="n">
        <v>999</v>
      </c>
      <c r="AB75" s="16" t="n">
        <v>1193</v>
      </c>
    </row>
    <row r="76" customFormat="false" ht="15" hidden="false" customHeight="false" outlineLevel="0" collapsed="false">
      <c r="Z76" s="10" t="s">
        <v>355</v>
      </c>
      <c r="AA76" s="16" t="n">
        <v>971</v>
      </c>
      <c r="AB76" s="16" t="n">
        <v>1171</v>
      </c>
    </row>
    <row r="77" customFormat="false" ht="15" hidden="false" customHeight="false" outlineLevel="0" collapsed="false">
      <c r="Z77" s="10" t="s">
        <v>356</v>
      </c>
      <c r="AA77" s="16" t="n">
        <v>1081</v>
      </c>
      <c r="AB77" s="16" t="n">
        <v>1272</v>
      </c>
    </row>
    <row r="78" customFormat="false" ht="15" hidden="false" customHeight="false" outlineLevel="0" collapsed="false">
      <c r="Z78" s="10" t="s">
        <v>357</v>
      </c>
      <c r="AA78" s="16" t="n">
        <v>782</v>
      </c>
      <c r="AB78" s="16" t="n">
        <v>910</v>
      </c>
    </row>
    <row r="79" customFormat="false" ht="15" hidden="false" customHeight="false" outlineLevel="0" collapsed="false">
      <c r="Z79" s="10" t="s">
        <v>358</v>
      </c>
      <c r="AA79" s="16" t="n">
        <v>740</v>
      </c>
      <c r="AB79" s="16" t="n">
        <v>831</v>
      </c>
    </row>
    <row r="80" customFormat="false" ht="15" hidden="false" customHeight="false" outlineLevel="0" collapsed="false">
      <c r="Z80" s="10" t="s">
        <v>359</v>
      </c>
      <c r="AA80" s="16" t="n">
        <v>915</v>
      </c>
      <c r="AB80" s="16" t="n">
        <v>1025</v>
      </c>
    </row>
    <row r="81" customFormat="false" ht="15" hidden="false" customHeight="false" outlineLevel="0" collapsed="false">
      <c r="Z81" s="10" t="s">
        <v>360</v>
      </c>
      <c r="AA81" s="16" t="n">
        <v>998</v>
      </c>
      <c r="AB81" s="16" t="n">
        <v>1115</v>
      </c>
    </row>
    <row r="82" customFormat="false" ht="15" hidden="false" customHeight="false" outlineLevel="0" collapsed="false">
      <c r="Z82" s="10" t="s">
        <v>361</v>
      </c>
      <c r="AA82" s="16" t="n">
        <v>990</v>
      </c>
      <c r="AB82" s="16" t="n">
        <v>1110</v>
      </c>
    </row>
    <row r="83" customFormat="false" ht="15" hidden="false" customHeight="false" outlineLevel="0" collapsed="false">
      <c r="Z83" s="10" t="s">
        <v>362</v>
      </c>
      <c r="AA83" s="16" t="n">
        <v>977</v>
      </c>
      <c r="AB83" s="16" t="n">
        <v>1077</v>
      </c>
    </row>
    <row r="84" customFormat="false" ht="15" hidden="false" customHeight="false" outlineLevel="0" collapsed="false">
      <c r="Z84" s="10" t="s">
        <v>363</v>
      </c>
      <c r="AA84" s="16" t="n">
        <v>1009</v>
      </c>
      <c r="AB84" s="16" t="n">
        <v>1094</v>
      </c>
    </row>
    <row r="85" customFormat="false" ht="15" hidden="false" customHeight="false" outlineLevel="0" collapsed="false">
      <c r="Z85" s="10" t="s">
        <v>364</v>
      </c>
      <c r="AA85" s="16" t="n">
        <v>1021</v>
      </c>
      <c r="AB85" s="16" t="n">
        <v>1143</v>
      </c>
    </row>
    <row r="86" customFormat="false" ht="15" hidden="false" customHeight="false" outlineLevel="0" collapsed="false">
      <c r="Z86" s="10" t="s">
        <v>365</v>
      </c>
      <c r="AA86" s="16" t="n">
        <v>957</v>
      </c>
      <c r="AB86" s="16" t="n">
        <v>1045</v>
      </c>
    </row>
    <row r="87" customFormat="false" ht="15" hidden="false" customHeight="false" outlineLevel="0" collapsed="false">
      <c r="Z87" s="10" t="s">
        <v>366</v>
      </c>
      <c r="AA87" s="16" t="n">
        <v>1125</v>
      </c>
      <c r="AB87" s="16" t="n">
        <v>1252</v>
      </c>
    </row>
    <row r="88" customFormat="false" ht="15" hidden="false" customHeight="false" outlineLevel="0" collapsed="false">
      <c r="Z88" s="10" t="s">
        <v>367</v>
      </c>
      <c r="AA88" s="16" t="n">
        <v>1099</v>
      </c>
      <c r="AB88" s="16" t="n">
        <v>1233</v>
      </c>
    </row>
    <row r="89" customFormat="false" ht="15" hidden="false" customHeight="false" outlineLevel="0" collapsed="false">
      <c r="Z89" s="10" t="s">
        <v>368</v>
      </c>
      <c r="AA89" s="16" t="n">
        <v>1139</v>
      </c>
      <c r="AB89" s="16" t="n">
        <v>1280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7" min="6" style="0" width="12"/>
    <col collapsed="false" customWidth="true" hidden="false" outlineLevel="0" max="8" min="8" style="0" width="18"/>
    <col collapsed="false" customWidth="true" hidden="false" outlineLevel="0" max="9" min="9" style="0" width="11"/>
    <col collapsed="false" customWidth="true" hidden="false" outlineLevel="0" max="10" min="10" style="0" width="24"/>
  </cols>
  <sheetData>
    <row r="1" customFormat="false" ht="18.55" hidden="false" customHeight="false" outlineLevel="0" collapsed="false">
      <c r="A1" s="8" t="s">
        <v>369</v>
      </c>
    </row>
    <row r="2" customFormat="false" ht="15" hidden="false" customHeight="false" outlineLevel="0" collapsed="false">
      <c r="A2" s="7" t="s">
        <v>370</v>
      </c>
    </row>
    <row r="4" customFormat="false" ht="23.85" hidden="false" customHeight="false" outlineLevel="0" collapsed="false">
      <c r="A4" s="9" t="s">
        <v>371</v>
      </c>
      <c r="B4" s="9" t="s">
        <v>372</v>
      </c>
      <c r="C4" s="9" t="s">
        <v>373</v>
      </c>
      <c r="D4" s="9" t="s">
        <v>374</v>
      </c>
      <c r="E4" s="9" t="s">
        <v>375</v>
      </c>
      <c r="F4" s="9" t="s">
        <v>376</v>
      </c>
      <c r="G4" s="9" t="s">
        <v>202</v>
      </c>
      <c r="H4" s="9" t="s">
        <v>377</v>
      </c>
      <c r="I4" s="9" t="s">
        <v>205</v>
      </c>
      <c r="J4" s="9" t="s">
        <v>378</v>
      </c>
    </row>
    <row r="5" customFormat="false" ht="15" hidden="false" customHeight="false" outlineLevel="0" collapsed="false">
      <c r="A5" s="5" t="s">
        <v>294</v>
      </c>
      <c r="B5" s="17" t="n">
        <f aca="false">base_agregada!I35</f>
        <v>5257</v>
      </c>
      <c r="C5" s="18" t="n">
        <f aca="false">B5/$B$10</f>
        <v>0.079871767601568</v>
      </c>
      <c r="D5" s="19" t="n">
        <f aca="false">C5</f>
        <v>0.079871767601568</v>
      </c>
      <c r="E5" s="17" t="n">
        <f aca="false">B5</f>
        <v>5257</v>
      </c>
      <c r="F5" s="19" t="n">
        <f aca="false">E5/$B$10</f>
        <v>0.079871767601568</v>
      </c>
      <c r="G5" s="17" t="n">
        <f aca="false">base_agregada!J35</f>
        <v>6256</v>
      </c>
      <c r="H5" s="20" t="n">
        <f aca="false">IF(B5=0,0,G5/B5)</f>
        <v>1.19003233783527</v>
      </c>
      <c r="I5" s="17" t="n">
        <f aca="false">base_agregada!K35</f>
        <v>138</v>
      </c>
      <c r="J5" s="21" t="n">
        <f aca="false">IF(B5=0,0,I5/B5*1000)</f>
        <v>26.2507133346015</v>
      </c>
    </row>
    <row r="6" customFormat="false" ht="15" hidden="false" customHeight="false" outlineLevel="0" collapsed="false">
      <c r="A6" s="5" t="s">
        <v>297</v>
      </c>
      <c r="B6" s="17" t="n">
        <f aca="false">base_agregada!I36</f>
        <v>16086</v>
      </c>
      <c r="C6" s="18" t="n">
        <f aca="false">B6/$B$10</f>
        <v>0.244401227627701</v>
      </c>
      <c r="D6" s="19" t="n">
        <f aca="false">C6</f>
        <v>0.244401227627701</v>
      </c>
      <c r="E6" s="17" t="n">
        <f aca="false">E5+B6</f>
        <v>21343</v>
      </c>
      <c r="F6" s="19" t="n">
        <f aca="false">E6/$B$10</f>
        <v>0.324272995229269</v>
      </c>
      <c r="G6" s="17" t="n">
        <f aca="false">base_agregada!J36</f>
        <v>18554</v>
      </c>
      <c r="H6" s="20" t="n">
        <f aca="false">IF(B6=0,0,G6/B6)</f>
        <v>1.15342533880393</v>
      </c>
      <c r="I6" s="17" t="n">
        <f aca="false">base_agregada!K36</f>
        <v>202</v>
      </c>
      <c r="J6" s="21" t="n">
        <f aca="false">IF(B6=0,0,I6/B6*1000)</f>
        <v>12.5575034191222</v>
      </c>
    </row>
    <row r="7" customFormat="false" ht="15" hidden="false" customHeight="false" outlineLevel="0" collapsed="false">
      <c r="A7" s="5" t="s">
        <v>302</v>
      </c>
      <c r="B7" s="17" t="n">
        <f aca="false">base_agregada!I37</f>
        <v>26474</v>
      </c>
      <c r="C7" s="18" t="n">
        <f aca="false">B7/$B$10</f>
        <v>0.402230392901638</v>
      </c>
      <c r="D7" s="19" t="n">
        <f aca="false">C7</f>
        <v>0.402230392901638</v>
      </c>
      <c r="E7" s="17" t="n">
        <f aca="false">E6+B7</f>
        <v>47817</v>
      </c>
      <c r="F7" s="19" t="n">
        <f aca="false">E7/$B$10</f>
        <v>0.726503388130906</v>
      </c>
      <c r="G7" s="17" t="n">
        <f aca="false">base_agregada!J37</f>
        <v>29959</v>
      </c>
      <c r="H7" s="20" t="n">
        <f aca="false">IF(B7=0,0,G7/B7)</f>
        <v>1.13163858880411</v>
      </c>
      <c r="I7" s="17" t="n">
        <f aca="false">base_agregada!K37</f>
        <v>200</v>
      </c>
      <c r="J7" s="21" t="n">
        <f aca="false">IF(B7=0,0,I7/B7*1000)</f>
        <v>7.55458185389439</v>
      </c>
    </row>
    <row r="8" customFormat="false" ht="15" hidden="false" customHeight="false" outlineLevel="0" collapsed="false">
      <c r="A8" s="5" t="s">
        <v>306</v>
      </c>
      <c r="B8" s="17" t="n">
        <f aca="false">base_agregada!I38</f>
        <v>17920</v>
      </c>
      <c r="C8" s="18" t="n">
        <f aca="false">B8/$B$10</f>
        <v>0.272265945486037</v>
      </c>
      <c r="D8" s="19" t="n">
        <f aca="false">C8</f>
        <v>0.272265945486037</v>
      </c>
      <c r="E8" s="17" t="n">
        <f aca="false">E7+B8</f>
        <v>65737</v>
      </c>
      <c r="F8" s="19" t="n">
        <f aca="false">E8/$B$10</f>
        <v>0.998769333616944</v>
      </c>
      <c r="G8" s="17" t="n">
        <f aca="false">base_agregada!J38</f>
        <v>20328</v>
      </c>
      <c r="H8" s="20" t="n">
        <f aca="false">IF(B8=0,0,G8/B8)</f>
        <v>1.134375</v>
      </c>
      <c r="I8" s="17" t="n">
        <f aca="false">base_agregada!K38</f>
        <v>162</v>
      </c>
      <c r="J8" s="21" t="n">
        <f aca="false">IF(B8=0,0,I8/B8*1000)</f>
        <v>9.04017857142857</v>
      </c>
    </row>
    <row r="9" customFormat="false" ht="15" hidden="false" customHeight="false" outlineLevel="0" collapsed="false">
      <c r="A9" s="5" t="s">
        <v>216</v>
      </c>
      <c r="B9" s="17" t="n">
        <f aca="false">base_agregada!I39</f>
        <v>81</v>
      </c>
      <c r="C9" s="18" t="n">
        <f aca="false">B9/$B$10</f>
        <v>0.00123066638305631</v>
      </c>
      <c r="D9" s="19" t="n">
        <f aca="false">C9</f>
        <v>0.00123066638305631</v>
      </c>
      <c r="E9" s="17" t="n">
        <f aca="false">E8+B9</f>
        <v>65818</v>
      </c>
      <c r="F9" s="19" t="n">
        <f aca="false">E9/$B$10</f>
        <v>1</v>
      </c>
      <c r="G9" s="17" t="n">
        <f aca="false">base_agregada!J39</f>
        <v>96</v>
      </c>
      <c r="H9" s="20" t="n">
        <f aca="false">IF(B9=0,0,G9/B9)</f>
        <v>1.18518518518519</v>
      </c>
      <c r="I9" s="17" t="n">
        <f aca="false">base_agregada!K39</f>
        <v>1</v>
      </c>
      <c r="J9" s="21" t="n">
        <f aca="false">IF(B9=0,0,I9/B9*1000)</f>
        <v>12.3456790123457</v>
      </c>
    </row>
    <row r="10" customFormat="false" ht="15" hidden="false" customHeight="false" outlineLevel="0" collapsed="false">
      <c r="A10" s="22" t="s">
        <v>379</v>
      </c>
      <c r="B10" s="23" t="n">
        <f aca="false">SUM(B5:B9)</f>
        <v>65818</v>
      </c>
      <c r="C10" s="24" t="n">
        <f aca="false">SUM(C5:C9)</f>
        <v>1</v>
      </c>
      <c r="D10" s="25" t="n">
        <f aca="false">SUM(D5:D9)</f>
        <v>1</v>
      </c>
      <c r="E10" s="22"/>
      <c r="F10" s="22"/>
      <c r="G10" s="23" t="n">
        <f aca="false">SUM(G5:G9)</f>
        <v>75193</v>
      </c>
      <c r="H10" s="22"/>
      <c r="I10" s="23" t="n">
        <f aca="false">SUM(I5:I9)</f>
        <v>703</v>
      </c>
      <c r="J10" s="22"/>
    </row>
    <row r="11" customFormat="false" ht="15" hidden="false" customHeight="false" outlineLevel="0" collapsed="false">
      <c r="A11" s="7" t="s">
        <v>380</v>
      </c>
    </row>
    <row r="13" customFormat="false" ht="15" hidden="false" customHeight="false" outlineLevel="0" collapsed="false">
      <c r="A13" s="26" t="s">
        <v>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7" min="6" style="0" width="12"/>
    <col collapsed="false" customWidth="true" hidden="false" outlineLevel="0" max="8" min="8" style="0" width="18"/>
    <col collapsed="false" customWidth="true" hidden="false" outlineLevel="0" max="9" min="9" style="0" width="11"/>
    <col collapsed="false" customWidth="true" hidden="false" outlineLevel="0" max="10" min="10" style="0" width="24"/>
  </cols>
  <sheetData>
    <row r="1" customFormat="false" ht="18.55" hidden="false" customHeight="false" outlineLevel="0" collapsed="false">
      <c r="A1" s="8" t="s">
        <v>382</v>
      </c>
    </row>
    <row r="2" customFormat="false" ht="15" hidden="false" customHeight="false" outlineLevel="0" collapsed="false">
      <c r="A2" s="7" t="s">
        <v>383</v>
      </c>
    </row>
    <row r="4" customFormat="false" ht="23.85" hidden="false" customHeight="false" outlineLevel="0" collapsed="false">
      <c r="A4" s="9" t="s">
        <v>384</v>
      </c>
      <c r="B4" s="9" t="s">
        <v>372</v>
      </c>
      <c r="C4" s="9" t="s">
        <v>373</v>
      </c>
      <c r="D4" s="9" t="s">
        <v>374</v>
      </c>
      <c r="E4" s="9" t="s">
        <v>375</v>
      </c>
      <c r="F4" s="9" t="s">
        <v>376</v>
      </c>
      <c r="G4" s="9" t="s">
        <v>202</v>
      </c>
      <c r="H4" s="9" t="s">
        <v>377</v>
      </c>
      <c r="I4" s="9" t="s">
        <v>205</v>
      </c>
      <c r="J4" s="9" t="s">
        <v>378</v>
      </c>
    </row>
    <row r="5" customFormat="false" ht="15" hidden="false" customHeight="false" outlineLevel="0" collapsed="false">
      <c r="A5" s="5" t="s">
        <v>230</v>
      </c>
      <c r="B5" s="17" t="n">
        <f aca="false">base_agregada!O14</f>
        <v>24555</v>
      </c>
      <c r="C5" s="18" t="n">
        <f aca="false">B5/$B$18</f>
        <v>0.373074235011699</v>
      </c>
      <c r="D5" s="19" t="n">
        <f aca="false">C5</f>
        <v>0.373074235011699</v>
      </c>
      <c r="E5" s="17" t="n">
        <f aca="false">B5</f>
        <v>24555</v>
      </c>
      <c r="F5" s="19" t="n">
        <f aca="false">E5/$B$18</f>
        <v>0.373074235011699</v>
      </c>
      <c r="G5" s="17" t="n">
        <f aca="false">base_agregada!P14</f>
        <v>26885</v>
      </c>
      <c r="H5" s="20" t="n">
        <f aca="false">IF(B5=0,0,G5/B5)</f>
        <v>1.09488902463857</v>
      </c>
      <c r="I5" s="17" t="n">
        <f aca="false">base_agregada!Q14</f>
        <v>288</v>
      </c>
      <c r="J5" s="21" t="n">
        <f aca="false">IF(B5=0,0,I5/B5*1000)</f>
        <v>11.7287721441662</v>
      </c>
    </row>
    <row r="6" customFormat="false" ht="15" hidden="false" customHeight="false" outlineLevel="0" collapsed="false">
      <c r="A6" s="5" t="s">
        <v>216</v>
      </c>
      <c r="B6" s="17" t="n">
        <f aca="false">base_agregada!O15</f>
        <v>10929</v>
      </c>
      <c r="C6" s="18" t="n">
        <f aca="false">B6/$B$18</f>
        <v>0.166048801239782</v>
      </c>
      <c r="D6" s="19" t="n">
        <f aca="false">C6</f>
        <v>0.166048801239782</v>
      </c>
      <c r="E6" s="17" t="n">
        <f aca="false">E5+B6</f>
        <v>35484</v>
      </c>
      <c r="F6" s="19" t="n">
        <f aca="false">E6/$B$18</f>
        <v>0.539123036251481</v>
      </c>
      <c r="G6" s="17" t="n">
        <f aca="false">base_agregada!P15</f>
        <v>12428</v>
      </c>
      <c r="H6" s="20" t="n">
        <f aca="false">IF(B6=0,0,G6/B6)</f>
        <v>1.13715801994693</v>
      </c>
      <c r="I6" s="17" t="n">
        <f aca="false">base_agregada!Q15</f>
        <v>0</v>
      </c>
      <c r="J6" s="21" t="n">
        <f aca="false">IF(B6=0,0,I6/B6*1000)</f>
        <v>0</v>
      </c>
    </row>
    <row r="7" customFormat="false" ht="15" hidden="false" customHeight="false" outlineLevel="0" collapsed="false">
      <c r="A7" s="5" t="s">
        <v>235</v>
      </c>
      <c r="B7" s="17" t="n">
        <f aca="false">base_agregada!O16</f>
        <v>9415</v>
      </c>
      <c r="C7" s="18" t="n">
        <f aca="false">B7/$B$18</f>
        <v>0.143045975265125</v>
      </c>
      <c r="D7" s="19" t="n">
        <f aca="false">C7</f>
        <v>0.143045975265125</v>
      </c>
      <c r="E7" s="17" t="n">
        <f aca="false">E6+B7</f>
        <v>44899</v>
      </c>
      <c r="F7" s="19" t="n">
        <f aca="false">E7/$B$18</f>
        <v>0.682169011516606</v>
      </c>
      <c r="G7" s="17" t="n">
        <f aca="false">base_agregada!P16</f>
        <v>10097</v>
      </c>
      <c r="H7" s="20" t="n">
        <f aca="false">IF(B7=0,0,G7/B7)</f>
        <v>1.07243759957515</v>
      </c>
      <c r="I7" s="17" t="n">
        <f aca="false">base_agregada!Q16</f>
        <v>273</v>
      </c>
      <c r="J7" s="21" t="n">
        <f aca="false">IF(B7=0,0,I7/B7*1000)</f>
        <v>28.996282527881</v>
      </c>
    </row>
    <row r="8" customFormat="false" ht="15" hidden="false" customHeight="false" outlineLevel="0" collapsed="false">
      <c r="A8" s="5" t="s">
        <v>238</v>
      </c>
      <c r="B8" s="17" t="n">
        <f aca="false">base_agregada!O17</f>
        <v>7091</v>
      </c>
      <c r="C8" s="18" t="n">
        <f aca="false">B8/$B$18</f>
        <v>0.107736485459905</v>
      </c>
      <c r="D8" s="19" t="n">
        <f aca="false">C8</f>
        <v>0.107736485459905</v>
      </c>
      <c r="E8" s="17" t="n">
        <f aca="false">E7+B8</f>
        <v>51990</v>
      </c>
      <c r="F8" s="19" t="n">
        <f aca="false">E8/$B$18</f>
        <v>0.789905496976511</v>
      </c>
      <c r="G8" s="17" t="n">
        <f aca="false">base_agregada!P17</f>
        <v>7299</v>
      </c>
      <c r="H8" s="20" t="n">
        <f aca="false">IF(B8=0,0,G8/B8)</f>
        <v>1.02933295726978</v>
      </c>
      <c r="I8" s="17" t="n">
        <f aca="false">base_agregada!Q17</f>
        <v>54</v>
      </c>
      <c r="J8" s="21" t="n">
        <f aca="false">IF(B8=0,0,I8/B8*1000)</f>
        <v>7.61528698350021</v>
      </c>
    </row>
    <row r="9" customFormat="false" ht="15" hidden="false" customHeight="false" outlineLevel="0" collapsed="false">
      <c r="A9" s="5" t="s">
        <v>241</v>
      </c>
      <c r="B9" s="17" t="n">
        <f aca="false">base_agregada!O18</f>
        <v>7073</v>
      </c>
      <c r="C9" s="18" t="n">
        <f aca="false">B9/$B$18</f>
        <v>0.107463004041448</v>
      </c>
      <c r="D9" s="19" t="n">
        <f aca="false">C9</f>
        <v>0.107463004041448</v>
      </c>
      <c r="E9" s="17" t="n">
        <f aca="false">E8+B9</f>
        <v>59063</v>
      </c>
      <c r="F9" s="19" t="n">
        <f aca="false">E9/$B$18</f>
        <v>0.897368501017959</v>
      </c>
      <c r="G9" s="17" t="n">
        <f aca="false">base_agregada!P18</f>
        <v>9399</v>
      </c>
      <c r="H9" s="20" t="n">
        <f aca="false">IF(B9=0,0,G9/B9)</f>
        <v>1.32885621377068</v>
      </c>
      <c r="I9" s="17" t="n">
        <f aca="false">base_agregada!Q18</f>
        <v>60</v>
      </c>
      <c r="J9" s="21" t="n">
        <f aca="false">IF(B9=0,0,I9/B9*1000)</f>
        <v>8.48296338187473</v>
      </c>
    </row>
    <row r="10" customFormat="false" ht="15" hidden="false" customHeight="false" outlineLevel="0" collapsed="false">
      <c r="A10" s="5" t="s">
        <v>244</v>
      </c>
      <c r="B10" s="17" t="n">
        <f aca="false">base_agregada!O19</f>
        <v>3633</v>
      </c>
      <c r="C10" s="18" t="n">
        <f aca="false">B10/$B$18</f>
        <v>0.0551976662918958</v>
      </c>
      <c r="D10" s="19" t="n">
        <f aca="false">C10</f>
        <v>0.0551976662918958</v>
      </c>
      <c r="E10" s="17" t="n">
        <f aca="false">E9+B10</f>
        <v>62696</v>
      </c>
      <c r="F10" s="19" t="n">
        <f aca="false">E10/$B$18</f>
        <v>0.952566167309854</v>
      </c>
      <c r="G10" s="17" t="n">
        <f aca="false">base_agregada!P19</f>
        <v>4695</v>
      </c>
      <c r="H10" s="20" t="n">
        <f aca="false">IF(B10=0,0,G10/B10)</f>
        <v>1.29232039636664</v>
      </c>
      <c r="I10" s="17" t="n">
        <f aca="false">base_agregada!Q19</f>
        <v>6</v>
      </c>
      <c r="J10" s="21" t="n">
        <f aca="false">IF(B10=0,0,I10/B10*1000)</f>
        <v>1.65152766308836</v>
      </c>
    </row>
    <row r="11" customFormat="false" ht="15" hidden="false" customHeight="false" outlineLevel="0" collapsed="false">
      <c r="A11" s="5" t="s">
        <v>247</v>
      </c>
      <c r="B11" s="17" t="n">
        <f aca="false">base_agregada!O20</f>
        <v>810</v>
      </c>
      <c r="C11" s="18" t="n">
        <f aca="false">B11/$B$18</f>
        <v>0.0123066638305631</v>
      </c>
      <c r="D11" s="19" t="n">
        <f aca="false">C11</f>
        <v>0.0123066638305631</v>
      </c>
      <c r="E11" s="17" t="n">
        <f aca="false">E10+B11</f>
        <v>63506</v>
      </c>
      <c r="F11" s="19" t="n">
        <f aca="false">E11/$B$18</f>
        <v>0.964872831140418</v>
      </c>
      <c r="G11" s="17" t="n">
        <f aca="false">base_agregada!P20</f>
        <v>1071</v>
      </c>
      <c r="H11" s="20" t="n">
        <f aca="false">IF(B11=0,0,G11/B11)</f>
        <v>1.32222222222222</v>
      </c>
      <c r="I11" s="17" t="n">
        <f aca="false">base_agregada!Q20</f>
        <v>1</v>
      </c>
      <c r="J11" s="21" t="n">
        <f aca="false">IF(B11=0,0,I11/B11*1000)</f>
        <v>1.23456790123457</v>
      </c>
    </row>
    <row r="12" customFormat="false" ht="15" hidden="false" customHeight="false" outlineLevel="0" collapsed="false">
      <c r="A12" s="5" t="s">
        <v>250</v>
      </c>
      <c r="B12" s="17" t="n">
        <f aca="false">base_agregada!O21</f>
        <v>697</v>
      </c>
      <c r="C12" s="18" t="n">
        <f aca="false">B12/$B$18</f>
        <v>0.0105898082591388</v>
      </c>
      <c r="D12" s="19" t="n">
        <f aca="false">C12</f>
        <v>0.0105898082591388</v>
      </c>
      <c r="E12" s="17" t="n">
        <f aca="false">E11+B12</f>
        <v>64203</v>
      </c>
      <c r="F12" s="19" t="n">
        <f aca="false">E12/$B$18</f>
        <v>0.975462639399556</v>
      </c>
      <c r="G12" s="17" t="n">
        <f aca="false">base_agregada!P21</f>
        <v>958</v>
      </c>
      <c r="H12" s="20" t="n">
        <f aca="false">IF(B12=0,0,G12/B12)</f>
        <v>1.37446197991392</v>
      </c>
      <c r="I12" s="17" t="n">
        <f aca="false">base_agregada!Q21</f>
        <v>8</v>
      </c>
      <c r="J12" s="21" t="n">
        <f aca="false">IF(B12=0,0,I12/B12*1000)</f>
        <v>11.4777618364419</v>
      </c>
    </row>
    <row r="13" customFormat="false" ht="15" hidden="false" customHeight="false" outlineLevel="0" collapsed="false">
      <c r="A13" s="5" t="s">
        <v>254</v>
      </c>
      <c r="B13" s="17" t="n">
        <f aca="false">base_agregada!O22</f>
        <v>531</v>
      </c>
      <c r="C13" s="18" t="n">
        <f aca="false">B13/$B$18</f>
        <v>0.00806770184448023</v>
      </c>
      <c r="D13" s="19" t="n">
        <f aca="false">C13</f>
        <v>0.00806770184448023</v>
      </c>
      <c r="E13" s="17" t="n">
        <f aca="false">E12+B13</f>
        <v>64734</v>
      </c>
      <c r="F13" s="19" t="n">
        <f aca="false">E13/$B$18</f>
        <v>0.983530341244037</v>
      </c>
      <c r="G13" s="17" t="n">
        <f aca="false">base_agregada!P22</f>
        <v>681</v>
      </c>
      <c r="H13" s="20" t="n">
        <f aca="false">IF(B13=0,0,G13/B13)</f>
        <v>1.28248587570621</v>
      </c>
      <c r="I13" s="17" t="n">
        <f aca="false">base_agregada!Q22</f>
        <v>3</v>
      </c>
      <c r="J13" s="21" t="n">
        <f aca="false">IF(B13=0,0,I13/B13*1000)</f>
        <v>5.64971751412429</v>
      </c>
    </row>
    <row r="14" customFormat="false" ht="15" hidden="false" customHeight="false" outlineLevel="0" collapsed="false">
      <c r="A14" s="5" t="s">
        <v>257</v>
      </c>
      <c r="B14" s="17" t="n">
        <f aca="false">base_agregada!O23</f>
        <v>498</v>
      </c>
      <c r="C14" s="18" t="n">
        <f aca="false">B14/$B$18</f>
        <v>0.00756631924397581</v>
      </c>
      <c r="D14" s="19" t="n">
        <f aca="false">C14</f>
        <v>0.00756631924397581</v>
      </c>
      <c r="E14" s="17" t="n">
        <f aca="false">E13+B14</f>
        <v>65232</v>
      </c>
      <c r="F14" s="19" t="n">
        <f aca="false">E14/$B$18</f>
        <v>0.991096660488012</v>
      </c>
      <c r="G14" s="17" t="n">
        <f aca="false">base_agregada!P23</f>
        <v>975</v>
      </c>
      <c r="H14" s="20" t="n">
        <f aca="false">IF(B14=0,0,G14/B14)</f>
        <v>1.9578313253012</v>
      </c>
      <c r="I14" s="17" t="n">
        <f aca="false">base_agregada!Q23</f>
        <v>4</v>
      </c>
      <c r="J14" s="21" t="n">
        <f aca="false">IF(B14=0,0,I14/B14*1000)</f>
        <v>8.03212851405622</v>
      </c>
    </row>
    <row r="15" customFormat="false" ht="15" hidden="false" customHeight="false" outlineLevel="0" collapsed="false">
      <c r="A15" s="5" t="s">
        <v>260</v>
      </c>
      <c r="B15" s="17" t="n">
        <f aca="false">base_agregada!O24</f>
        <v>250</v>
      </c>
      <c r="C15" s="18" t="n">
        <f aca="false">B15/$B$18</f>
        <v>0.0037983530341244</v>
      </c>
      <c r="D15" s="19" t="n">
        <f aca="false">C15</f>
        <v>0.0037983530341244</v>
      </c>
      <c r="E15" s="17" t="n">
        <f aca="false">E14+B15</f>
        <v>65482</v>
      </c>
      <c r="F15" s="19" t="n">
        <f aca="false">E15/$B$18</f>
        <v>0.994895013522137</v>
      </c>
      <c r="G15" s="17" t="n">
        <f aca="false">base_agregada!P24</f>
        <v>334</v>
      </c>
      <c r="H15" s="20" t="n">
        <f aca="false">IF(B15=0,0,G15/B15)</f>
        <v>1.336</v>
      </c>
      <c r="I15" s="17" t="n">
        <f aca="false">base_agregada!Q24</f>
        <v>5</v>
      </c>
      <c r="J15" s="21" t="n">
        <f aca="false">IF(B15=0,0,I15/B15*1000)</f>
        <v>20</v>
      </c>
    </row>
    <row r="16" customFormat="false" ht="15" hidden="false" customHeight="false" outlineLevel="0" collapsed="false">
      <c r="A16" s="5" t="s">
        <v>264</v>
      </c>
      <c r="B16" s="17" t="n">
        <f aca="false">base_agregada!O25</f>
        <v>207</v>
      </c>
      <c r="C16" s="18" t="n">
        <f aca="false">B16/$B$18</f>
        <v>0.00314503631225501</v>
      </c>
      <c r="D16" s="19" t="n">
        <f aca="false">C16</f>
        <v>0.00314503631225501</v>
      </c>
      <c r="E16" s="17" t="n">
        <f aca="false">E15+B16</f>
        <v>65689</v>
      </c>
      <c r="F16" s="19" t="n">
        <f aca="false">E16/$B$18</f>
        <v>0.998040049834392</v>
      </c>
      <c r="G16" s="17" t="n">
        <f aca="false">base_agregada!P25</f>
        <v>214</v>
      </c>
      <c r="H16" s="20" t="n">
        <f aca="false">IF(B16=0,0,G16/B16)</f>
        <v>1.03381642512077</v>
      </c>
      <c r="I16" s="17" t="n">
        <f aca="false">base_agregada!Q25</f>
        <v>1</v>
      </c>
      <c r="J16" s="21" t="n">
        <f aca="false">IF(B16=0,0,I16/B16*1000)</f>
        <v>4.83091787439614</v>
      </c>
    </row>
    <row r="17" customFormat="false" ht="15" hidden="false" customHeight="false" outlineLevel="0" collapsed="false">
      <c r="A17" s="5" t="s">
        <v>268</v>
      </c>
      <c r="B17" s="17" t="n">
        <f aca="false">base_agregada!O26</f>
        <v>129</v>
      </c>
      <c r="C17" s="18" t="n">
        <f aca="false">B17/$B$18</f>
        <v>0.00195995016560819</v>
      </c>
      <c r="D17" s="19" t="n">
        <f aca="false">C17</f>
        <v>0.00195995016560819</v>
      </c>
      <c r="E17" s="17" t="n">
        <f aca="false">E16+B17</f>
        <v>65818</v>
      </c>
      <c r="F17" s="19" t="n">
        <f aca="false">E17/$B$18</f>
        <v>1</v>
      </c>
      <c r="G17" s="17" t="n">
        <f aca="false">base_agregada!P26</f>
        <v>157</v>
      </c>
      <c r="H17" s="20" t="n">
        <f aca="false">IF(B17=0,0,G17/B17)</f>
        <v>1.21705426356589</v>
      </c>
      <c r="I17" s="17" t="n">
        <f aca="false">base_agregada!Q26</f>
        <v>0</v>
      </c>
      <c r="J17" s="21" t="n">
        <f aca="false">IF(B17=0,0,I17/B17*1000)</f>
        <v>0</v>
      </c>
    </row>
    <row r="18" customFormat="false" ht="15" hidden="false" customHeight="false" outlineLevel="0" collapsed="false">
      <c r="A18" s="22" t="s">
        <v>379</v>
      </c>
      <c r="B18" s="23" t="n">
        <f aca="false">SUM(B5:B17)</f>
        <v>65818</v>
      </c>
      <c r="C18" s="24" t="n">
        <f aca="false">SUM(C5:C17)</f>
        <v>1</v>
      </c>
      <c r="D18" s="25" t="n">
        <f aca="false">SUM(D5:D17)</f>
        <v>1</v>
      </c>
      <c r="E18" s="22"/>
      <c r="F18" s="22"/>
      <c r="G18" s="23" t="n">
        <f aca="false">SUM(G5:G17)</f>
        <v>75193</v>
      </c>
      <c r="H18" s="22"/>
      <c r="I18" s="23" t="n">
        <f aca="false">SUM(I5:I17)</f>
        <v>703</v>
      </c>
      <c r="J18" s="22"/>
    </row>
    <row r="19" customFormat="false" ht="15" hidden="false" customHeight="false" outlineLevel="0" collapsed="false">
      <c r="A19" s="7" t="s">
        <v>380</v>
      </c>
    </row>
    <row r="21" customFormat="false" ht="15" hidden="false" customHeight="false" outlineLevel="0" collapsed="false">
      <c r="A21" s="26" t="s">
        <v>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7" min="6" style="0" width="12"/>
    <col collapsed="false" customWidth="true" hidden="false" outlineLevel="0" max="8" min="8" style="0" width="18"/>
    <col collapsed="false" customWidth="true" hidden="false" outlineLevel="0" max="9" min="9" style="0" width="11"/>
    <col collapsed="false" customWidth="true" hidden="false" outlineLevel="0" max="10" min="10" style="0" width="24"/>
  </cols>
  <sheetData>
    <row r="1" customFormat="false" ht="18.55" hidden="false" customHeight="false" outlineLevel="0" collapsed="false">
      <c r="A1" s="8" t="s">
        <v>386</v>
      </c>
    </row>
    <row r="2" customFormat="false" ht="15" hidden="false" customHeight="false" outlineLevel="0" collapsed="false">
      <c r="A2" s="7" t="s">
        <v>387</v>
      </c>
    </row>
    <row r="4" customFormat="false" ht="23.85" hidden="false" customHeight="false" outlineLevel="0" collapsed="false">
      <c r="A4" s="9" t="s">
        <v>207</v>
      </c>
      <c r="B4" s="9" t="s">
        <v>372</v>
      </c>
      <c r="C4" s="9" t="s">
        <v>373</v>
      </c>
      <c r="D4" s="9" t="s">
        <v>374</v>
      </c>
      <c r="E4" s="9" t="s">
        <v>375</v>
      </c>
      <c r="F4" s="9" t="s">
        <v>376</v>
      </c>
      <c r="G4" s="9" t="s">
        <v>202</v>
      </c>
      <c r="H4" s="9" t="s">
        <v>377</v>
      </c>
      <c r="I4" s="9" t="s">
        <v>205</v>
      </c>
      <c r="J4" s="9" t="s">
        <v>378</v>
      </c>
    </row>
    <row r="5" customFormat="false" ht="15" hidden="false" customHeight="false" outlineLevel="0" collapsed="false">
      <c r="A5" s="5" t="s">
        <v>210</v>
      </c>
      <c r="B5" s="17" t="n">
        <f aca="false">base_agregada!O6</f>
        <v>30525</v>
      </c>
      <c r="C5" s="18" t="n">
        <f aca="false">B5/$B$10</f>
        <v>0.46377890546659</v>
      </c>
      <c r="D5" s="19" t="n">
        <f aca="false">C5</f>
        <v>0.46377890546659</v>
      </c>
      <c r="E5" s="17" t="n">
        <f aca="false">B5</f>
        <v>30525</v>
      </c>
      <c r="F5" s="19" t="n">
        <f aca="false">E5/$B$10</f>
        <v>0.46377890546659</v>
      </c>
      <c r="G5" s="17" t="n">
        <f aca="false">base_agregada!P6</f>
        <v>34747</v>
      </c>
      <c r="H5" s="20" t="n">
        <f aca="false">IF(B5=0,0,G5/B5)</f>
        <v>1.13831285831286</v>
      </c>
      <c r="I5" s="17" t="n">
        <f aca="false">base_agregada!Q6</f>
        <v>426</v>
      </c>
      <c r="J5" s="21" t="n">
        <f aca="false">IF(B5=0,0,I5/B5*1000)</f>
        <v>13.955773955774</v>
      </c>
    </row>
    <row r="6" customFormat="false" ht="15" hidden="false" customHeight="false" outlineLevel="0" collapsed="false">
      <c r="A6" s="5" t="s">
        <v>213</v>
      </c>
      <c r="B6" s="17" t="n">
        <f aca="false">base_agregada!O7</f>
        <v>18794</v>
      </c>
      <c r="C6" s="18" t="n">
        <f aca="false">B6/$B$10</f>
        <v>0.285544987693336</v>
      </c>
      <c r="D6" s="19" t="n">
        <f aca="false">C6</f>
        <v>0.285544987693336</v>
      </c>
      <c r="E6" s="17" t="n">
        <f aca="false">E5+B6</f>
        <v>49319</v>
      </c>
      <c r="F6" s="19" t="n">
        <f aca="false">E6/$B$10</f>
        <v>0.749323893159926</v>
      </c>
      <c r="G6" s="17" t="n">
        <f aca="false">base_agregada!P7</f>
        <v>21039</v>
      </c>
      <c r="H6" s="20" t="n">
        <f aca="false">IF(B6=0,0,G6/B6)</f>
        <v>1.11945301692029</v>
      </c>
      <c r="I6" s="17" t="n">
        <f aca="false">base_agregada!Q7</f>
        <v>150</v>
      </c>
      <c r="J6" s="21" t="n">
        <f aca="false">IF(B6=0,0,I6/B6*1000)</f>
        <v>7.98127061828243</v>
      </c>
    </row>
    <row r="7" customFormat="false" ht="15" hidden="false" customHeight="false" outlineLevel="0" collapsed="false">
      <c r="A7" s="5" t="s">
        <v>216</v>
      </c>
      <c r="B7" s="17" t="n">
        <f aca="false">base_agregada!O8</f>
        <v>12542</v>
      </c>
      <c r="C7" s="18" t="n">
        <f aca="false">B7/$B$10</f>
        <v>0.190555775015953</v>
      </c>
      <c r="D7" s="19" t="n">
        <f aca="false">C7</f>
        <v>0.190555775015953</v>
      </c>
      <c r="E7" s="17" t="n">
        <f aca="false">E6+B7</f>
        <v>61861</v>
      </c>
      <c r="F7" s="19" t="n">
        <f aca="false">E7/$B$10</f>
        <v>0.939879668175879</v>
      </c>
      <c r="G7" s="17" t="n">
        <f aca="false">base_agregada!P8</f>
        <v>14556</v>
      </c>
      <c r="H7" s="20" t="n">
        <f aca="false">IF(B7=0,0,G7/B7)</f>
        <v>1.16058044968904</v>
      </c>
      <c r="I7" s="17" t="n">
        <f aca="false">base_agregada!Q8</f>
        <v>0</v>
      </c>
      <c r="J7" s="21" t="n">
        <f aca="false">IF(B7=0,0,I7/B7*1000)</f>
        <v>0</v>
      </c>
    </row>
    <row r="8" customFormat="false" ht="15" hidden="false" customHeight="false" outlineLevel="0" collapsed="false">
      <c r="A8" s="5" t="s">
        <v>219</v>
      </c>
      <c r="B8" s="17" t="n">
        <f aca="false">base_agregada!O9</f>
        <v>2916</v>
      </c>
      <c r="C8" s="18" t="n">
        <f aca="false">B8/$B$10</f>
        <v>0.044303989790027</v>
      </c>
      <c r="D8" s="19" t="n">
        <f aca="false">C8</f>
        <v>0.044303989790027</v>
      </c>
      <c r="E8" s="17" t="n">
        <f aca="false">E7+B8</f>
        <v>64777</v>
      </c>
      <c r="F8" s="19" t="n">
        <f aca="false">E8/$B$10</f>
        <v>0.984183657965906</v>
      </c>
      <c r="G8" s="17" t="n">
        <f aca="false">base_agregada!P9</f>
        <v>3569</v>
      </c>
      <c r="H8" s="20" t="n">
        <f aca="false">IF(B8=0,0,G8/B8)</f>
        <v>1.22393689986283</v>
      </c>
      <c r="I8" s="17" t="n">
        <f aca="false">base_agregada!Q9</f>
        <v>56</v>
      </c>
      <c r="J8" s="21" t="n">
        <f aca="false">IF(B8=0,0,I8/B8*1000)</f>
        <v>19.2043895747599</v>
      </c>
    </row>
    <row r="9" customFormat="false" ht="15" hidden="false" customHeight="false" outlineLevel="0" collapsed="false">
      <c r="A9" s="5" t="s">
        <v>221</v>
      </c>
      <c r="B9" s="17" t="n">
        <f aca="false">base_agregada!O10</f>
        <v>1041</v>
      </c>
      <c r="C9" s="18" t="n">
        <f aca="false">B9/$B$10</f>
        <v>0.015816342034094</v>
      </c>
      <c r="D9" s="19" t="n">
        <f aca="false">C9</f>
        <v>0.015816342034094</v>
      </c>
      <c r="E9" s="17" t="n">
        <f aca="false">E8+B9</f>
        <v>65818</v>
      </c>
      <c r="F9" s="19" t="n">
        <f aca="false">E9/$B$10</f>
        <v>1</v>
      </c>
      <c r="G9" s="17" t="n">
        <f aca="false">base_agregada!P10</f>
        <v>1282</v>
      </c>
      <c r="H9" s="20" t="n">
        <f aca="false">IF(B9=0,0,G9/B9)</f>
        <v>1.23150816522574</v>
      </c>
      <c r="I9" s="17" t="n">
        <f aca="false">base_agregada!Q10</f>
        <v>71</v>
      </c>
      <c r="J9" s="21" t="n">
        <f aca="false">IF(B9=0,0,I9/B9*1000)</f>
        <v>68.2036503362152</v>
      </c>
    </row>
    <row r="10" customFormat="false" ht="15" hidden="false" customHeight="false" outlineLevel="0" collapsed="false">
      <c r="A10" s="22" t="s">
        <v>379</v>
      </c>
      <c r="B10" s="23" t="n">
        <f aca="false">SUM(B5:B9)</f>
        <v>65818</v>
      </c>
      <c r="C10" s="24" t="n">
        <f aca="false">SUM(C5:C9)</f>
        <v>1</v>
      </c>
      <c r="D10" s="25" t="n">
        <f aca="false">SUM(D5:D9)</f>
        <v>1</v>
      </c>
      <c r="E10" s="22"/>
      <c r="F10" s="22"/>
      <c r="G10" s="23" t="n">
        <f aca="false">SUM(G5:G9)</f>
        <v>75193</v>
      </c>
      <c r="H10" s="22"/>
      <c r="I10" s="23" t="n">
        <f aca="false">SUM(I5:I9)</f>
        <v>703</v>
      </c>
      <c r="J10" s="22"/>
    </row>
    <row r="11" customFormat="false" ht="15" hidden="false" customHeight="false" outlineLevel="0" collapsed="false">
      <c r="A11" s="7" t="s">
        <v>380</v>
      </c>
    </row>
    <row r="13" customFormat="false" ht="15" hidden="false" customHeight="false" outlineLevel="0" collapsed="false">
      <c r="A13" s="26" t="s">
        <v>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7" min="6" style="0" width="12"/>
    <col collapsed="false" customWidth="true" hidden="false" outlineLevel="0" max="8" min="8" style="0" width="18"/>
    <col collapsed="false" customWidth="true" hidden="false" outlineLevel="0" max="9" min="9" style="0" width="11"/>
    <col collapsed="false" customWidth="true" hidden="false" outlineLevel="0" max="10" min="10" style="0" width="24"/>
  </cols>
  <sheetData>
    <row r="1" customFormat="false" ht="18.55" hidden="false" customHeight="false" outlineLevel="0" collapsed="false">
      <c r="A1" s="8" t="s">
        <v>389</v>
      </c>
    </row>
    <row r="2" customFormat="false" ht="15" hidden="false" customHeight="false" outlineLevel="0" collapsed="false">
      <c r="A2" s="7" t="s">
        <v>390</v>
      </c>
    </row>
    <row r="4" customFormat="false" ht="15" hidden="false" customHeight="false" outlineLevel="0" collapsed="false">
      <c r="A4" s="9" t="s">
        <v>208</v>
      </c>
      <c r="B4" s="9" t="s">
        <v>372</v>
      </c>
      <c r="C4" s="9" t="s">
        <v>373</v>
      </c>
      <c r="D4" s="9" t="s">
        <v>374</v>
      </c>
      <c r="E4" s="9" t="s">
        <v>375</v>
      </c>
      <c r="F4" s="9" t="s">
        <v>376</v>
      </c>
      <c r="G4" s="9" t="s">
        <v>202</v>
      </c>
      <c r="H4" s="9" t="s">
        <v>377</v>
      </c>
    </row>
    <row r="5" customFormat="false" ht="15" hidden="false" customHeight="false" outlineLevel="0" collapsed="false">
      <c r="A5" s="5" t="s">
        <v>211</v>
      </c>
      <c r="B5" s="17" t="n">
        <f aca="false">base_agregada!U6</f>
        <v>62174</v>
      </c>
      <c r="C5" s="18" t="n">
        <f aca="false">B5/$B$8</f>
        <v>0.944635206174603</v>
      </c>
      <c r="D5" s="19" t="n">
        <f aca="false">C5</f>
        <v>0.944635206174603</v>
      </c>
      <c r="E5" s="17" t="n">
        <f aca="false">B5</f>
        <v>62174</v>
      </c>
      <c r="F5" s="19" t="n">
        <f aca="false">E5/$B$8</f>
        <v>0.944635206174603</v>
      </c>
      <c r="G5" s="17" t="n">
        <f aca="false">base_agregada!V6</f>
        <v>70854</v>
      </c>
      <c r="H5" s="20" t="n">
        <f aca="false">IF(B5=0,0,G5/B5)</f>
        <v>1.13960819635217</v>
      </c>
    </row>
    <row r="6" customFormat="false" ht="15" hidden="false" customHeight="false" outlineLevel="0" collapsed="false">
      <c r="A6" s="5" t="s">
        <v>214</v>
      </c>
      <c r="B6" s="17" t="n">
        <f aca="false">base_agregada!U7</f>
        <v>2955</v>
      </c>
      <c r="C6" s="18" t="n">
        <f aca="false">B6/$B$8</f>
        <v>0.0448965328633505</v>
      </c>
      <c r="D6" s="19" t="n">
        <f aca="false">C6</f>
        <v>0.0448965328633505</v>
      </c>
      <c r="E6" s="17" t="n">
        <f aca="false">E5+B6</f>
        <v>65129</v>
      </c>
      <c r="F6" s="19" t="n">
        <f aca="false">E6/$B$8</f>
        <v>0.989531739037953</v>
      </c>
      <c r="G6" s="17" t="n">
        <f aca="false">base_agregada!V7</f>
        <v>3572</v>
      </c>
      <c r="H6" s="20" t="n">
        <f aca="false">IF(B6=0,0,G6/B6)</f>
        <v>1.2087986463621</v>
      </c>
    </row>
    <row r="7" customFormat="false" ht="15" hidden="false" customHeight="false" outlineLevel="0" collapsed="false">
      <c r="A7" s="5" t="s">
        <v>217</v>
      </c>
      <c r="B7" s="17" t="n">
        <f aca="false">base_agregada!U8</f>
        <v>689</v>
      </c>
      <c r="C7" s="18" t="n">
        <f aca="false">B7/$B$8</f>
        <v>0.0104682609620469</v>
      </c>
      <c r="D7" s="19" t="n">
        <f aca="false">C7</f>
        <v>0.0104682609620469</v>
      </c>
      <c r="E7" s="17" t="n">
        <f aca="false">E6+B7</f>
        <v>65818</v>
      </c>
      <c r="F7" s="19" t="n">
        <f aca="false">E7/$B$8</f>
        <v>1</v>
      </c>
      <c r="G7" s="17" t="n">
        <f aca="false">base_agregada!V8</f>
        <v>767</v>
      </c>
      <c r="H7" s="20" t="n">
        <f aca="false">IF(B7=0,0,G7/B7)</f>
        <v>1.11320754716981</v>
      </c>
    </row>
    <row r="8" customFormat="false" ht="15" hidden="false" customHeight="false" outlineLevel="0" collapsed="false">
      <c r="A8" s="22" t="s">
        <v>379</v>
      </c>
      <c r="B8" s="23" t="n">
        <f aca="false">SUM(B5:B7)</f>
        <v>65818</v>
      </c>
      <c r="C8" s="24" t="n">
        <f aca="false">SUM(C5:C7)</f>
        <v>1</v>
      </c>
      <c r="D8" s="25" t="n">
        <f aca="false">SUM(D5:D7)</f>
        <v>1</v>
      </c>
      <c r="E8" s="22"/>
      <c r="F8" s="22"/>
      <c r="G8" s="23" t="n">
        <f aca="false">SUM(G5:G7)</f>
        <v>75193</v>
      </c>
      <c r="H8" s="22"/>
    </row>
    <row r="9" customFormat="false" ht="15" hidden="false" customHeight="false" outlineLevel="0" collapsed="false">
      <c r="A9" s="7" t="s">
        <v>380</v>
      </c>
    </row>
    <row r="11" customFormat="false" ht="15" hidden="false" customHeight="false" outlineLevel="0" collapsed="false">
      <c r="A11" s="26" t="s">
        <v>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18.55" hidden="false" customHeight="false" outlineLevel="0" collapsed="false">
      <c r="A1" s="8" t="s">
        <v>392</v>
      </c>
    </row>
    <row r="2" customFormat="false" ht="15" hidden="false" customHeight="false" outlineLevel="0" collapsed="false">
      <c r="A2" s="7" t="s">
        <v>393</v>
      </c>
    </row>
    <row r="4" customFormat="false" ht="15" hidden="false" customHeight="false" outlineLevel="0" collapsed="false">
      <c r="A4" s="9" t="s">
        <v>394</v>
      </c>
      <c r="B4" s="9" t="s">
        <v>395</v>
      </c>
      <c r="C4" s="9" t="s">
        <v>372</v>
      </c>
      <c r="D4" s="9" t="s">
        <v>373</v>
      </c>
      <c r="E4" s="9" t="s">
        <v>374</v>
      </c>
      <c r="F4" s="9" t="s">
        <v>375</v>
      </c>
      <c r="G4" s="9" t="s">
        <v>376</v>
      </c>
    </row>
    <row r="5" customFormat="false" ht="15" hidden="false" customHeight="false" outlineLevel="0" collapsed="false">
      <c r="A5" s="5" t="s">
        <v>54</v>
      </c>
      <c r="B5" s="5" t="n">
        <v>1</v>
      </c>
      <c r="C5" s="17" t="n">
        <f aca="false">base_agregada!U12</f>
        <v>59052</v>
      </c>
      <c r="D5" s="18" t="n">
        <f aca="false">C5/$C$15</f>
        <v>0.897201373484457</v>
      </c>
      <c r="E5" s="27" t="n">
        <f aca="false">D5</f>
        <v>0.897201373484457</v>
      </c>
      <c r="F5" s="17" t="n">
        <f aca="false">C5</f>
        <v>59052</v>
      </c>
      <c r="G5" s="27" t="n">
        <f aca="false">F5/$C$15</f>
        <v>0.897201373484457</v>
      </c>
    </row>
    <row r="6" customFormat="false" ht="15" hidden="false" customHeight="false" outlineLevel="0" collapsed="false">
      <c r="A6" s="5" t="s">
        <v>396</v>
      </c>
      <c r="B6" s="5" t="n">
        <v>2</v>
      </c>
      <c r="C6" s="17" t="n">
        <f aca="false">base_agregada!U13</f>
        <v>5295</v>
      </c>
      <c r="D6" s="18" t="n">
        <f aca="false">C6/$C$15</f>
        <v>0.0804491172627549</v>
      </c>
      <c r="E6" s="27" t="n">
        <f aca="false">D6</f>
        <v>0.0804491172627549</v>
      </c>
      <c r="F6" s="17" t="n">
        <f aca="false">F5+C6</f>
        <v>64347</v>
      </c>
      <c r="G6" s="27" t="n">
        <f aca="false">F6/$C$15</f>
        <v>0.977650490747212</v>
      </c>
    </row>
    <row r="7" customFormat="false" ht="15" hidden="false" customHeight="false" outlineLevel="0" collapsed="false">
      <c r="A7" s="5" t="s">
        <v>114</v>
      </c>
      <c r="B7" s="5" t="n">
        <v>3</v>
      </c>
      <c r="C7" s="17" t="n">
        <f aca="false">base_agregada!U14</f>
        <v>911</v>
      </c>
      <c r="D7" s="18" t="n">
        <f aca="false">C7/$C$15</f>
        <v>0.0138411984563493</v>
      </c>
      <c r="E7" s="27" t="n">
        <f aca="false">D7</f>
        <v>0.0138411984563493</v>
      </c>
      <c r="F7" s="17" t="n">
        <f aca="false">F6+C7</f>
        <v>65258</v>
      </c>
      <c r="G7" s="27" t="n">
        <f aca="false">F7/$C$15</f>
        <v>0.991491689203561</v>
      </c>
    </row>
    <row r="8" customFormat="false" ht="15" hidden="false" customHeight="false" outlineLevel="0" collapsed="false">
      <c r="A8" s="5" t="s">
        <v>397</v>
      </c>
      <c r="B8" s="5" t="n">
        <v>4</v>
      </c>
      <c r="C8" s="17" t="n">
        <f aca="false">base_agregada!U15</f>
        <v>304</v>
      </c>
      <c r="D8" s="18" t="n">
        <f aca="false">C8/$C$15</f>
        <v>0.00461879728949528</v>
      </c>
      <c r="E8" s="27" t="n">
        <f aca="false">D8</f>
        <v>0.00461879728949528</v>
      </c>
      <c r="F8" s="17" t="n">
        <f aca="false">F7+C8</f>
        <v>65562</v>
      </c>
      <c r="G8" s="27" t="n">
        <f aca="false">F8/$C$15</f>
        <v>0.996110486493057</v>
      </c>
    </row>
    <row r="9" customFormat="false" ht="15" hidden="false" customHeight="false" outlineLevel="0" collapsed="false">
      <c r="A9" s="5" t="s">
        <v>398</v>
      </c>
      <c r="B9" s="5" t="n">
        <v>5</v>
      </c>
      <c r="C9" s="17" t="n">
        <f aca="false">base_agregada!U16</f>
        <v>134</v>
      </c>
      <c r="D9" s="18" t="n">
        <f aca="false">C9/$C$15</f>
        <v>0.00203591722629068</v>
      </c>
      <c r="E9" s="27" t="n">
        <f aca="false">D9</f>
        <v>0.00203591722629068</v>
      </c>
      <c r="F9" s="17" t="n">
        <f aca="false">F8+C9</f>
        <v>65696</v>
      </c>
      <c r="G9" s="27" t="n">
        <f aca="false">F9/$C$15</f>
        <v>0.998146403719347</v>
      </c>
    </row>
    <row r="10" customFormat="false" ht="15" hidden="false" customHeight="false" outlineLevel="0" collapsed="false">
      <c r="A10" s="5" t="s">
        <v>399</v>
      </c>
      <c r="B10" s="5" t="n">
        <v>6</v>
      </c>
      <c r="C10" s="17" t="n">
        <f aca="false">base_agregada!U17</f>
        <v>61</v>
      </c>
      <c r="D10" s="18" t="n">
        <f aca="false">C10/$C$15</f>
        <v>0.000926798140326355</v>
      </c>
      <c r="E10" s="27" t="n">
        <f aca="false">D10</f>
        <v>0.000926798140326355</v>
      </c>
      <c r="F10" s="17" t="n">
        <f aca="false">F9+C10</f>
        <v>65757</v>
      </c>
      <c r="G10" s="27" t="n">
        <f aca="false">F10/$C$15</f>
        <v>0.999073201859674</v>
      </c>
    </row>
    <row r="11" customFormat="false" ht="15" hidden="false" customHeight="false" outlineLevel="0" collapsed="false">
      <c r="A11" s="5" t="s">
        <v>124</v>
      </c>
      <c r="B11" s="5" t="n">
        <v>7</v>
      </c>
      <c r="C11" s="17" t="n">
        <f aca="false">base_agregada!U18</f>
        <v>23</v>
      </c>
      <c r="D11" s="18" t="n">
        <f aca="false">C11/$C$15</f>
        <v>0.000349448479139445</v>
      </c>
      <c r="E11" s="27" t="n">
        <f aca="false">D11</f>
        <v>0.000349448479139445</v>
      </c>
      <c r="F11" s="17" t="n">
        <f aca="false">F10+C11</f>
        <v>65780</v>
      </c>
      <c r="G11" s="27" t="n">
        <f aca="false">F11/$C$15</f>
        <v>0.999422650338813</v>
      </c>
    </row>
    <row r="12" customFormat="false" ht="15" hidden="false" customHeight="false" outlineLevel="0" collapsed="false">
      <c r="A12" s="5" t="s">
        <v>400</v>
      </c>
      <c r="B12" s="5" t="n">
        <v>8</v>
      </c>
      <c r="C12" s="17" t="n">
        <f aca="false">base_agregada!U19</f>
        <v>19</v>
      </c>
      <c r="D12" s="18" t="n">
        <f aca="false">C12/$C$15</f>
        <v>0.000288674830593455</v>
      </c>
      <c r="E12" s="27" t="n">
        <f aca="false">D12</f>
        <v>0.000288674830593455</v>
      </c>
      <c r="F12" s="17" t="n">
        <f aca="false">F11+C12</f>
        <v>65799</v>
      </c>
      <c r="G12" s="27" t="n">
        <f aca="false">F12/$C$15</f>
        <v>0.999711325169407</v>
      </c>
    </row>
    <row r="13" customFormat="false" ht="15" hidden="false" customHeight="false" outlineLevel="0" collapsed="false">
      <c r="A13" s="5" t="s">
        <v>401</v>
      </c>
      <c r="B13" s="5" t="n">
        <v>9</v>
      </c>
      <c r="C13" s="17" t="n">
        <f aca="false">base_agregada!U20</f>
        <v>3</v>
      </c>
      <c r="D13" s="18" t="n">
        <f aca="false">C13/$C$15</f>
        <v>4.55802364094929E-005</v>
      </c>
      <c r="E13" s="27" t="n">
        <f aca="false">D13</f>
        <v>4.55802364094929E-005</v>
      </c>
      <c r="F13" s="17" t="n">
        <f aca="false">F12+C13</f>
        <v>65802</v>
      </c>
      <c r="G13" s="27" t="n">
        <f aca="false">F13/$C$15</f>
        <v>0.999756905405816</v>
      </c>
    </row>
    <row r="14" customFormat="false" ht="15" hidden="false" customHeight="false" outlineLevel="0" collapsed="false">
      <c r="A14" s="5" t="s">
        <v>251</v>
      </c>
      <c r="B14" s="5" t="n">
        <v>10</v>
      </c>
      <c r="C14" s="17" t="n">
        <f aca="false">base_agregada!U21</f>
        <v>16</v>
      </c>
      <c r="D14" s="18" t="n">
        <f aca="false">C14/$C$15</f>
        <v>0.000243094594183962</v>
      </c>
      <c r="E14" s="27" t="n">
        <f aca="false">D14</f>
        <v>0.000243094594183962</v>
      </c>
      <c r="F14" s="17" t="n">
        <f aca="false">F13+C14</f>
        <v>65818</v>
      </c>
      <c r="G14" s="27" t="n">
        <f aca="false">F14/$C$15</f>
        <v>1</v>
      </c>
    </row>
    <row r="15" customFormat="false" ht="15" hidden="false" customHeight="false" outlineLevel="0" collapsed="false">
      <c r="A15" s="22" t="s">
        <v>379</v>
      </c>
      <c r="B15" s="22"/>
      <c r="C15" s="23" t="n">
        <f aca="false">SUM(C5:C14)</f>
        <v>65818</v>
      </c>
      <c r="D15" s="24" t="n">
        <f aca="false">SUM(D5:D14)</f>
        <v>1</v>
      </c>
      <c r="E15" s="28" t="n">
        <f aca="false">SUM(E5:E14)</f>
        <v>1</v>
      </c>
      <c r="F15" s="22"/>
      <c r="G15" s="22"/>
    </row>
    <row r="17" customFormat="false" ht="15" hidden="false" customHeight="false" outlineLevel="0" collapsed="false">
      <c r="A17" s="26" t="s">
        <v>402</v>
      </c>
    </row>
    <row r="18" customFormat="false" ht="15" hidden="false" customHeight="false" outlineLevel="0" collapsed="false">
      <c r="A18" s="29" t="s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8.55" hidden="false" customHeight="false" outlineLevel="0" collapsed="false">
      <c r="A1" s="8" t="s">
        <v>404</v>
      </c>
    </row>
    <row r="2" customFormat="false" ht="15" hidden="false" customHeight="false" outlineLevel="0" collapsed="false">
      <c r="A2" s="7" t="s">
        <v>405</v>
      </c>
    </row>
    <row r="4" customFormat="false" ht="15" hidden="false" customHeight="false" outlineLevel="0" collapsed="false">
      <c r="A4" s="9" t="s">
        <v>406</v>
      </c>
      <c r="B4" s="9" t="s">
        <v>407</v>
      </c>
      <c r="C4" s="9" t="s">
        <v>408</v>
      </c>
      <c r="D4" s="9" t="s">
        <v>409</v>
      </c>
    </row>
    <row r="5" customFormat="false" ht="15" hidden="false" customHeight="false" outlineLevel="0" collapsed="false">
      <c r="A5" s="30" t="s">
        <v>410</v>
      </c>
      <c r="B5" s="31" t="s">
        <v>411</v>
      </c>
      <c r="C5" s="32" t="n">
        <f aca="false">SUM(freq_victimas!C5:C14)</f>
        <v>65818</v>
      </c>
      <c r="D5" s="33" t="s">
        <v>412</v>
      </c>
    </row>
    <row r="6" customFormat="false" ht="15" hidden="false" customHeight="false" outlineLevel="0" collapsed="false">
      <c r="A6" s="30" t="s">
        <v>413</v>
      </c>
      <c r="B6" s="31" t="s">
        <v>414</v>
      </c>
      <c r="C6" s="32" t="n">
        <f aca="false">SUMPRODUCT(freq_victimas!B5:B14,freq_victimas!C5:C14)</f>
        <v>75127</v>
      </c>
      <c r="D6" s="33" t="s">
        <v>415</v>
      </c>
    </row>
    <row r="7" customFormat="false" ht="15" hidden="false" customHeight="false" outlineLevel="0" collapsed="false">
      <c r="A7" s="30" t="s">
        <v>416</v>
      </c>
      <c r="B7" s="31" t="s">
        <v>417</v>
      </c>
      <c r="C7" s="34" t="n">
        <f aca="false">C6/C5</f>
        <v>1.14143547357866</v>
      </c>
      <c r="D7" s="33" t="s">
        <v>418</v>
      </c>
    </row>
    <row r="8" customFormat="false" ht="15" hidden="false" customHeight="false" outlineLevel="0" collapsed="false">
      <c r="A8" s="30" t="s">
        <v>419</v>
      </c>
      <c r="B8" s="31" t="s">
        <v>420</v>
      </c>
      <c r="C8" s="35" t="n">
        <f aca="false">INDEX(freq_victimas!B5:B14,COUNTIF(freq_victimas!F5:F14,"&lt;"&amp;C5/2)+1)</f>
        <v>1</v>
      </c>
      <c r="D8" s="33" t="s">
        <v>421</v>
      </c>
    </row>
    <row r="9" customFormat="false" ht="15" hidden="false" customHeight="false" outlineLevel="0" collapsed="false">
      <c r="A9" s="30" t="s">
        <v>422</v>
      </c>
      <c r="B9" s="31" t="s">
        <v>423</v>
      </c>
      <c r="C9" s="35" t="n">
        <f aca="false">INDEX(freq_victimas!B5:B14,MATCH(MAX(freq_victimas!C5:C14),freq_victimas!C5:C14,0))</f>
        <v>1</v>
      </c>
      <c r="D9" s="33" t="s">
        <v>424</v>
      </c>
    </row>
    <row r="10" customFormat="false" ht="15" hidden="false" customHeight="false" outlineLevel="0" collapsed="false">
      <c r="A10" s="30" t="s">
        <v>425</v>
      </c>
      <c r="B10" s="31" t="s">
        <v>426</v>
      </c>
      <c r="C10" s="35" t="n">
        <f aca="false">1</f>
        <v>1</v>
      </c>
      <c r="D10" s="33" t="s">
        <v>427</v>
      </c>
    </row>
    <row r="11" customFormat="false" ht="15" hidden="false" customHeight="false" outlineLevel="0" collapsed="false">
      <c r="A11" s="30" t="s">
        <v>428</v>
      </c>
      <c r="B11" s="31" t="s">
        <v>429</v>
      </c>
      <c r="C11" s="35" t="n">
        <f aca="false">26</f>
        <v>26</v>
      </c>
      <c r="D11" s="33" t="s">
        <v>430</v>
      </c>
    </row>
    <row r="12" customFormat="false" ht="15" hidden="false" customHeight="false" outlineLevel="0" collapsed="false">
      <c r="A12" s="30" t="s">
        <v>431</v>
      </c>
      <c r="B12" s="31" t="s">
        <v>432</v>
      </c>
      <c r="C12" s="35" t="n">
        <f aca="false">C11-C10</f>
        <v>25</v>
      </c>
      <c r="D12" s="33" t="s">
        <v>433</v>
      </c>
    </row>
    <row r="13" customFormat="false" ht="15" hidden="false" customHeight="false" outlineLevel="0" collapsed="false">
      <c r="A13" s="30" t="s">
        <v>434</v>
      </c>
      <c r="B13" s="31" t="s">
        <v>435</v>
      </c>
      <c r="C13" s="36" t="n">
        <f aca="false">SUMPRODUCT(freq_victimas!C5:C14,(freq_victimas!B5:B14-C7)^2)/(C5-1)</f>
        <v>0.26246071951709</v>
      </c>
      <c r="D13" s="33" t="s">
        <v>436</v>
      </c>
    </row>
    <row r="14" customFormat="false" ht="15" hidden="false" customHeight="false" outlineLevel="0" collapsed="false">
      <c r="A14" s="30" t="s">
        <v>437</v>
      </c>
      <c r="B14" s="31" t="s">
        <v>438</v>
      </c>
      <c r="C14" s="34" t="n">
        <f aca="false">SQRT(C13)</f>
        <v>0.512309203037667</v>
      </c>
      <c r="D14" s="33" t="s">
        <v>439</v>
      </c>
    </row>
    <row r="15" customFormat="false" ht="22.35" hidden="false" customHeight="false" outlineLevel="0" collapsed="false">
      <c r="A15" s="30" t="s">
        <v>440</v>
      </c>
      <c r="B15" s="31" t="s">
        <v>441</v>
      </c>
      <c r="C15" s="37" t="n">
        <f aca="false">C14/C7*100</f>
        <v>44.8828878106848</v>
      </c>
      <c r="D15" s="33" t="s">
        <v>442</v>
      </c>
    </row>
    <row r="16" customFormat="false" ht="15" hidden="false" customHeight="false" outlineLevel="0" collapsed="false">
      <c r="A16" s="30" t="s">
        <v>443</v>
      </c>
      <c r="B16" s="31" t="s">
        <v>444</v>
      </c>
      <c r="C16" s="35" t="n">
        <f aca="false">INDEX(freq_victimas!B5:B14,COUNTIF(freq_victimas!F5:F14,"&lt;"&amp;C5*0.25)+1)</f>
        <v>1</v>
      </c>
      <c r="D16" s="33" t="s">
        <v>445</v>
      </c>
    </row>
    <row r="17" customFormat="false" ht="15" hidden="false" customHeight="false" outlineLevel="0" collapsed="false">
      <c r="A17" s="30" t="s">
        <v>446</v>
      </c>
      <c r="B17" s="31" t="s">
        <v>447</v>
      </c>
      <c r="C17" s="35" t="n">
        <f aca="false">INDEX(freq_victimas!B5:B14,COUNTIF(freq_victimas!F5:F14,"&lt;"&amp;C5*0.75)+1)</f>
        <v>1</v>
      </c>
      <c r="D17" s="33" t="s">
        <v>448</v>
      </c>
    </row>
    <row r="18" customFormat="false" ht="15" hidden="false" customHeight="false" outlineLevel="0" collapsed="false">
      <c r="A18" s="30" t="s">
        <v>449</v>
      </c>
      <c r="B18" s="31" t="s">
        <v>450</v>
      </c>
      <c r="C18" s="35" t="n">
        <f aca="false">C17-C16</f>
        <v>0</v>
      </c>
      <c r="D18" s="33" t="s">
        <v>451</v>
      </c>
    </row>
    <row r="19" customFormat="false" ht="15" hidden="false" customHeight="false" outlineLevel="0" collapsed="false">
      <c r="A19" s="30" t="s">
        <v>452</v>
      </c>
      <c r="B19" s="31" t="s">
        <v>453</v>
      </c>
      <c r="C19" s="34" t="n">
        <f aca="false">C7-C8</f>
        <v>0.141435473578656</v>
      </c>
      <c r="D19" s="33" t="s">
        <v>454</v>
      </c>
    </row>
    <row r="22" customFormat="false" ht="15" hidden="false" customHeight="false" outlineLevel="0" collapsed="false">
      <c r="A22" s="15" t="s">
        <v>455</v>
      </c>
    </row>
    <row r="23" customFormat="false" ht="15" hidden="false" customHeight="true" outlineLevel="0" collapsed="false">
      <c r="A23" s="38" t="s">
        <v>456</v>
      </c>
      <c r="B23" s="38"/>
      <c r="C23" s="38"/>
      <c r="D23" s="38"/>
    </row>
    <row r="24" customFormat="false" ht="15" hidden="false" customHeight="false" outlineLevel="0" collapsed="false">
      <c r="A24" s="38"/>
      <c r="B24" s="38"/>
      <c r="C24" s="38"/>
      <c r="D24" s="38"/>
    </row>
    <row r="25" customFormat="false" ht="15" hidden="false" customHeight="false" outlineLevel="0" collapsed="false">
      <c r="A25" s="38"/>
      <c r="B25" s="38"/>
      <c r="C25" s="38"/>
      <c r="D25" s="38"/>
    </row>
    <row r="28" customFormat="false" ht="15" hidden="false" customHeight="false" outlineLevel="0" collapsed="false">
      <c r="A28" s="9" t="s">
        <v>457</v>
      </c>
      <c r="B28" s="9" t="s">
        <v>408</v>
      </c>
      <c r="C28" s="9" t="s">
        <v>409</v>
      </c>
    </row>
    <row r="29" customFormat="false" ht="15" hidden="false" customHeight="false" outlineLevel="0" collapsed="false">
      <c r="A29" s="30" t="s">
        <v>458</v>
      </c>
      <c r="B29" s="39" t="n">
        <f aca="false">SUMPRODUCT(base_agregada!H6:H29,base_agregada!I6:I29)/SUM(base_agregada!I6:I29)</f>
        <v>13.642271475729</v>
      </c>
      <c r="C29" s="10" t="s">
        <v>459</v>
      </c>
    </row>
    <row r="30" customFormat="false" ht="15" hidden="false" customHeight="false" outlineLevel="0" collapsed="false">
      <c r="A30" s="30" t="s">
        <v>460</v>
      </c>
      <c r="B30" s="35" t="n">
        <f aca="false">INDEX(base_agregada!H6:H29,MATCH(MAX(base_agregada!I6:I29),base_agregada!I6:I29,0))</f>
        <v>17</v>
      </c>
      <c r="C30" s="10" t="s">
        <v>461</v>
      </c>
    </row>
    <row r="31" customFormat="false" ht="15" hidden="false" customHeight="false" outlineLevel="0" collapsed="false">
      <c r="A31" s="30" t="s">
        <v>462</v>
      </c>
      <c r="B31" s="35" t="n">
        <f aca="false">INDEX(base_agregada!H6:H29,MATCH(MIN(base_agregada!I6:I29),base_agregada!I6:I29,0))</f>
        <v>4</v>
      </c>
      <c r="C31" s="10" t="s">
        <v>463</v>
      </c>
    </row>
    <row r="32" customFormat="false" ht="15" hidden="false" customHeight="false" outlineLevel="0" collapsed="false">
      <c r="A32" s="30" t="s">
        <v>464</v>
      </c>
      <c r="B32" s="40" t="n">
        <f aca="false">SQRT(SUMPRODUCT(base_agregada!I6:I29,(base_agregada!H6:H29-SUMPRODUCT(base_agregada!H6:H29,base_agregada!I6:I29)/SUM(base_agregada!I6:I29))^2)/(SUM(base_agregada!I6:I29)-1))</f>
        <v>5.54267749584229</v>
      </c>
      <c r="C32" s="10" t="s">
        <v>465</v>
      </c>
    </row>
  </sheetData>
  <mergeCells count="1">
    <mergeCell ref="A23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1"/>
    <col collapsed="false" customWidth="true" hidden="false" outlineLevel="0" max="4" min="4" style="0" width="12"/>
    <col collapsed="false" customWidth="true" hidden="false" outlineLevel="0" max="8" min="5" style="0" width="11"/>
    <col collapsed="false" customWidth="true" hidden="false" outlineLevel="0" max="10" min="9" style="0" width="12"/>
  </cols>
  <sheetData>
    <row r="1" customFormat="false" ht="18.55" hidden="false" customHeight="false" outlineLevel="0" collapsed="false">
      <c r="A1" s="8" t="s">
        <v>466</v>
      </c>
    </row>
    <row r="2" customFormat="false" ht="15" hidden="false" customHeight="false" outlineLevel="0" collapsed="false">
      <c r="A2" s="7" t="s">
        <v>467</v>
      </c>
    </row>
    <row r="4" customFormat="false" ht="15" hidden="false" customHeight="false" outlineLevel="0" collapsed="false">
      <c r="A4" s="9" t="s">
        <v>468</v>
      </c>
      <c r="B4" s="9" t="s">
        <v>281</v>
      </c>
      <c r="C4" s="9" t="s">
        <v>284</v>
      </c>
      <c r="D4" s="9" t="s">
        <v>289</v>
      </c>
      <c r="E4" s="9" t="s">
        <v>293</v>
      </c>
      <c r="F4" s="9" t="s">
        <v>123</v>
      </c>
      <c r="G4" s="9" t="s">
        <v>301</v>
      </c>
      <c r="H4" s="9" t="s">
        <v>305</v>
      </c>
      <c r="I4" s="9" t="s">
        <v>469</v>
      </c>
      <c r="J4" s="9" t="s">
        <v>470</v>
      </c>
    </row>
    <row r="5" customFormat="false" ht="15" hidden="false" customHeight="false" outlineLevel="0" collapsed="false">
      <c r="A5" s="5" t="s">
        <v>471</v>
      </c>
      <c r="B5" s="17" t="n">
        <v>3302</v>
      </c>
      <c r="C5" s="17" t="n">
        <v>3265</v>
      </c>
      <c r="D5" s="17" t="n">
        <v>3169</v>
      </c>
      <c r="E5" s="17" t="n">
        <v>3306</v>
      </c>
      <c r="F5" s="17" t="n">
        <v>3390</v>
      </c>
      <c r="G5" s="17" t="n">
        <v>2635</v>
      </c>
      <c r="H5" s="17" t="n">
        <v>2276</v>
      </c>
      <c r="I5" s="17" t="n">
        <f aca="false">SUM(B5:H5)</f>
        <v>21343</v>
      </c>
      <c r="J5" s="19" t="n">
        <f aca="false">I5/$I$8</f>
        <v>0.324272995229269</v>
      </c>
    </row>
    <row r="6" customFormat="false" ht="15" hidden="false" customHeight="false" outlineLevel="0" collapsed="false">
      <c r="A6" s="5" t="s">
        <v>302</v>
      </c>
      <c r="B6" s="17" t="n">
        <v>3967</v>
      </c>
      <c r="C6" s="17" t="n">
        <v>4420</v>
      </c>
      <c r="D6" s="17" t="n">
        <v>4444</v>
      </c>
      <c r="E6" s="17" t="n">
        <v>4467</v>
      </c>
      <c r="F6" s="17" t="n">
        <v>4672</v>
      </c>
      <c r="G6" s="17" t="n">
        <v>2801</v>
      </c>
      <c r="H6" s="17" t="n">
        <v>1703</v>
      </c>
      <c r="I6" s="17" t="n">
        <f aca="false">SUM(B6:H6)</f>
        <v>26474</v>
      </c>
      <c r="J6" s="19" t="n">
        <f aca="false">I6/$I$8</f>
        <v>0.402230392901638</v>
      </c>
    </row>
    <row r="7" customFormat="false" ht="15" hidden="false" customHeight="false" outlineLevel="0" collapsed="false">
      <c r="A7" s="5" t="s">
        <v>306</v>
      </c>
      <c r="B7" s="17" t="n">
        <v>2401</v>
      </c>
      <c r="C7" s="17" t="n">
        <v>2634</v>
      </c>
      <c r="D7" s="17" t="n">
        <v>2778</v>
      </c>
      <c r="E7" s="17" t="n">
        <v>2905</v>
      </c>
      <c r="F7" s="17" t="n">
        <v>3058</v>
      </c>
      <c r="G7" s="17" t="n">
        <v>2355</v>
      </c>
      <c r="H7" s="17" t="n">
        <v>1870</v>
      </c>
      <c r="I7" s="17" t="n">
        <f aca="false">SUM(B7:H7)</f>
        <v>18001</v>
      </c>
      <c r="J7" s="19" t="n">
        <f aca="false">I7/$I$8</f>
        <v>0.273496611869094</v>
      </c>
    </row>
    <row r="8" customFormat="false" ht="15" hidden="false" customHeight="false" outlineLevel="0" collapsed="false">
      <c r="A8" s="6" t="s">
        <v>469</v>
      </c>
      <c r="B8" s="41" t="n">
        <f aca="false">SUM(B5:B7)</f>
        <v>9670</v>
      </c>
      <c r="C8" s="41" t="n">
        <f aca="false">SUM(C5:C7)</f>
        <v>10319</v>
      </c>
      <c r="D8" s="41" t="n">
        <f aca="false">SUM(D5:D7)</f>
        <v>10391</v>
      </c>
      <c r="E8" s="41" t="n">
        <f aca="false">SUM(E5:E7)</f>
        <v>10678</v>
      </c>
      <c r="F8" s="41" t="n">
        <f aca="false">SUM(F5:F7)</f>
        <v>11120</v>
      </c>
      <c r="G8" s="41" t="n">
        <f aca="false">SUM(G5:G7)</f>
        <v>7791</v>
      </c>
      <c r="H8" s="41" t="n">
        <f aca="false">SUM(H5:H7)</f>
        <v>5849</v>
      </c>
      <c r="I8" s="41" t="n">
        <f aca="false">SUM(I5:I7)</f>
        <v>65818</v>
      </c>
    </row>
    <row r="9" customFormat="false" ht="15" hidden="false" customHeight="false" outlineLevel="0" collapsed="false">
      <c r="A9" s="42" t="s">
        <v>472</v>
      </c>
      <c r="B9" s="43" t="n">
        <f aca="false">B8/$I$8</f>
        <v>0.146920295359932</v>
      </c>
      <c r="C9" s="43" t="n">
        <f aca="false">C8/$I$8</f>
        <v>0.156780819836519</v>
      </c>
      <c r="D9" s="43" t="n">
        <f aca="false">D8/$I$8</f>
        <v>0.157874745510347</v>
      </c>
      <c r="E9" s="43" t="n">
        <f aca="false">E8/$I$8</f>
        <v>0.162235254793522</v>
      </c>
      <c r="F9" s="43" t="n">
        <f aca="false">F8/$I$8</f>
        <v>0.168950742957853</v>
      </c>
      <c r="G9" s="43" t="n">
        <f aca="false">G8/$I$8</f>
        <v>0.118371873955453</v>
      </c>
      <c r="H9" s="43" t="n">
        <f aca="false">H8/$I$8</f>
        <v>0.0888662675863745</v>
      </c>
    </row>
    <row r="11" customFormat="false" ht="15" hidden="false" customHeight="false" outlineLevel="0" collapsed="false">
      <c r="A11" s="26" t="s">
        <v>473</v>
      </c>
    </row>
    <row r="12" customFormat="false" ht="15" hidden="false" customHeight="false" outlineLevel="0" collapsed="false">
      <c r="A12" s="26" t="s">
        <v>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22"/>
  </cols>
  <sheetData>
    <row r="1" customFormat="false" ht="18.55" hidden="false" customHeight="false" outlineLevel="0" collapsed="false">
      <c r="A1" s="8" t="s">
        <v>475</v>
      </c>
    </row>
    <row r="2" customFormat="false" ht="15" hidden="false" customHeight="false" outlineLevel="0" collapsed="false">
      <c r="A2" s="7" t="s">
        <v>476</v>
      </c>
    </row>
    <row r="4" customFormat="false" ht="23.85" hidden="false" customHeight="false" outlineLevel="0" collapsed="false">
      <c r="A4" s="9" t="s">
        <v>200</v>
      </c>
      <c r="B4" s="9" t="s">
        <v>201</v>
      </c>
      <c r="C4" s="9" t="s">
        <v>477</v>
      </c>
      <c r="D4" s="9" t="s">
        <v>202</v>
      </c>
      <c r="E4" s="9" t="s">
        <v>478</v>
      </c>
      <c r="F4" s="9" t="s">
        <v>479</v>
      </c>
      <c r="G4" s="9" t="s">
        <v>480</v>
      </c>
    </row>
    <row r="5" customFormat="false" ht="15" hidden="false" customHeight="false" outlineLevel="0" collapsed="false">
      <c r="A5" s="5" t="n">
        <v>2019</v>
      </c>
      <c r="B5" s="17" t="n">
        <f aca="false">base_agregada!B6</f>
        <v>10155</v>
      </c>
      <c r="C5" s="19"/>
      <c r="D5" s="17" t="n">
        <f aca="false">base_agregada!C6</f>
        <v>11886</v>
      </c>
      <c r="E5" s="17" t="n">
        <f aca="false">base_agregada!F6</f>
        <v>104</v>
      </c>
      <c r="F5" s="19"/>
      <c r="G5" s="21" t="n">
        <f aca="false">E5/B5*1000</f>
        <v>10.2412604628262</v>
      </c>
    </row>
    <row r="6" customFormat="false" ht="15" hidden="false" customHeight="false" outlineLevel="0" collapsed="false">
      <c r="A6" s="5" t="n">
        <v>2020</v>
      </c>
      <c r="B6" s="17" t="n">
        <f aca="false">base_agregada!B7</f>
        <v>6061</v>
      </c>
      <c r="C6" s="19" t="n">
        <f aca="false">B6/B5-1</f>
        <v>-0.403151157065485</v>
      </c>
      <c r="D6" s="17" t="n">
        <f aca="false">base_agregada!C7</f>
        <v>6936</v>
      </c>
      <c r="E6" s="17" t="n">
        <f aca="false">base_agregada!F7</f>
        <v>82</v>
      </c>
      <c r="F6" s="19" t="n">
        <f aca="false">E6/E5-1</f>
        <v>-0.211538461538462</v>
      </c>
      <c r="G6" s="21" t="n">
        <f aca="false">E6/B6*1000</f>
        <v>13.5291206071605</v>
      </c>
    </row>
    <row r="7" customFormat="false" ht="15" hidden="false" customHeight="false" outlineLevel="0" collapsed="false">
      <c r="A7" s="5" t="n">
        <v>2021</v>
      </c>
      <c r="B7" s="17" t="n">
        <f aca="false">base_agregada!B8</f>
        <v>7818</v>
      </c>
      <c r="C7" s="19" t="n">
        <f aca="false">B7/B6-1</f>
        <v>0.289886157399769</v>
      </c>
      <c r="D7" s="17" t="n">
        <f aca="false">base_agregada!C8</f>
        <v>9053</v>
      </c>
      <c r="E7" s="17" t="n">
        <f aca="false">base_agregada!F8</f>
        <v>96</v>
      </c>
      <c r="F7" s="19" t="n">
        <f aca="false">E7/E6-1</f>
        <v>0.170731707317073</v>
      </c>
      <c r="G7" s="21" t="n">
        <f aca="false">E7/B7*1000</f>
        <v>12.279355333845</v>
      </c>
    </row>
    <row r="8" customFormat="false" ht="15" hidden="false" customHeight="false" outlineLevel="0" collapsed="false">
      <c r="A8" s="5" t="n">
        <v>2022</v>
      </c>
      <c r="B8" s="17" t="n">
        <f aca="false">base_agregada!B9</f>
        <v>9536</v>
      </c>
      <c r="C8" s="19" t="n">
        <f aca="false">B8/B7-1</f>
        <v>0.219749296495267</v>
      </c>
      <c r="D8" s="17" t="n">
        <f aca="false">base_agregada!C9</f>
        <v>10647</v>
      </c>
      <c r="E8" s="17" t="n">
        <f aca="false">base_agregada!F9</f>
        <v>111</v>
      </c>
      <c r="F8" s="19" t="n">
        <f aca="false">E8/E7-1</f>
        <v>0.15625</v>
      </c>
      <c r="G8" s="21" t="n">
        <f aca="false">E8/B8*1000</f>
        <v>11.6401006711409</v>
      </c>
    </row>
    <row r="9" customFormat="false" ht="15" hidden="false" customHeight="false" outlineLevel="0" collapsed="false">
      <c r="A9" s="5" t="n">
        <v>2023</v>
      </c>
      <c r="B9" s="17" t="n">
        <f aca="false">base_agregada!B10</f>
        <v>9927</v>
      </c>
      <c r="C9" s="19" t="n">
        <f aca="false">B9/B8-1</f>
        <v>0.0410025167785235</v>
      </c>
      <c r="D9" s="17" t="n">
        <f aca="false">base_agregada!C10</f>
        <v>11075</v>
      </c>
      <c r="E9" s="17" t="n">
        <f aca="false">base_agregada!F10</f>
        <v>106</v>
      </c>
      <c r="F9" s="19" t="n">
        <f aca="false">E9/E8-1</f>
        <v>-0.045045045045045</v>
      </c>
      <c r="G9" s="21" t="n">
        <f aca="false">E9/B9*1000</f>
        <v>10.6779490279037</v>
      </c>
    </row>
    <row r="10" customFormat="false" ht="15" hidden="false" customHeight="false" outlineLevel="0" collapsed="false">
      <c r="A10" s="5" t="n">
        <v>2024</v>
      </c>
      <c r="B10" s="17" t="n">
        <f aca="false">base_agregada!B11</f>
        <v>10569</v>
      </c>
      <c r="C10" s="19" t="n">
        <f aca="false">B10/B9-1</f>
        <v>0.0646721063765487</v>
      </c>
      <c r="D10" s="17" t="n">
        <f aca="false">base_agregada!C11</f>
        <v>12481</v>
      </c>
      <c r="E10" s="17" t="n">
        <f aca="false">base_agregada!F11</f>
        <v>113</v>
      </c>
      <c r="F10" s="19" t="n">
        <f aca="false">E10/E9-1</f>
        <v>0.0660377358490567</v>
      </c>
      <c r="G10" s="21" t="n">
        <f aca="false">E10/B10*1000</f>
        <v>10.6916453779922</v>
      </c>
    </row>
    <row r="11" customFormat="false" ht="15" hidden="false" customHeight="false" outlineLevel="0" collapsed="false">
      <c r="A11" s="5" t="n">
        <v>2025</v>
      </c>
      <c r="B11" s="17" t="n">
        <f aca="false">base_agregada!B12</f>
        <v>11752</v>
      </c>
      <c r="C11" s="19" t="n">
        <f aca="false">B11/B10-1</f>
        <v>0.111931119311193</v>
      </c>
      <c r="D11" s="17" t="n">
        <f aca="false">base_agregada!C12</f>
        <v>13115</v>
      </c>
      <c r="E11" s="17" t="n">
        <f aca="false">base_agregada!F12</f>
        <v>91</v>
      </c>
      <c r="F11" s="19" t="n">
        <f aca="false">E11/E10-1</f>
        <v>-0.194690265486726</v>
      </c>
      <c r="G11" s="21" t="n">
        <f aca="false">E11/B11*1000</f>
        <v>7.74336283185841</v>
      </c>
    </row>
    <row r="12" customFormat="false" ht="15" hidden="false" customHeight="false" outlineLevel="0" collapsed="false">
      <c r="A12" s="6" t="s">
        <v>469</v>
      </c>
      <c r="B12" s="41" t="n">
        <f aca="false">SUM(B5:B11)</f>
        <v>65818</v>
      </c>
      <c r="D12" s="41" t="n">
        <f aca="false">SUM(D5:D11)</f>
        <v>75193</v>
      </c>
      <c r="E12" s="41" t="n">
        <f aca="false">SUM(E5:E11)</f>
        <v>703</v>
      </c>
      <c r="G12" s="44" t="n">
        <f aca="false">E12/B12*1000</f>
        <v>10.6809687319578</v>
      </c>
    </row>
    <row r="15" customFormat="false" ht="15" hidden="false" customHeight="false" outlineLevel="0" collapsed="false">
      <c r="A15" s="9" t="s">
        <v>481</v>
      </c>
      <c r="B15" s="9" t="s">
        <v>482</v>
      </c>
      <c r="C15" s="9" t="s">
        <v>483</v>
      </c>
    </row>
    <row r="16" customFormat="false" ht="15" hidden="false" customHeight="false" outlineLevel="0" collapsed="false">
      <c r="A16" s="30" t="s">
        <v>484</v>
      </c>
      <c r="B16" s="35" t="n">
        <f aca="false">SLOPE(B5:B11,A5:A11)</f>
        <v>568.428571428571</v>
      </c>
      <c r="C16" s="10" t="s">
        <v>485</v>
      </c>
    </row>
    <row r="17" customFormat="false" ht="15" hidden="false" customHeight="false" outlineLevel="0" collapsed="false">
      <c r="A17" s="30" t="s">
        <v>486</v>
      </c>
      <c r="B17" s="35" t="n">
        <f aca="false">INTERCEPT(B5:B11,A5:A11)</f>
        <v>-1139960</v>
      </c>
      <c r="C17" s="10"/>
    </row>
    <row r="18" customFormat="false" ht="15" hidden="false" customHeight="false" outlineLevel="0" collapsed="false">
      <c r="A18" s="30" t="s">
        <v>487</v>
      </c>
      <c r="B18" s="40" t="n">
        <f aca="false">RSQ(B5:B11,A5:A11)</f>
        <v>0.422440073653865</v>
      </c>
      <c r="C18" s="10" t="s">
        <v>488</v>
      </c>
    </row>
    <row r="19" customFormat="false" ht="15" hidden="false" customHeight="false" outlineLevel="0" collapsed="false">
      <c r="A19" s="30" t="s">
        <v>489</v>
      </c>
      <c r="B19" s="45" t="n">
        <f aca="false">B11/B5-1</f>
        <v>0.15726243229936</v>
      </c>
      <c r="C19" s="10" t="s">
        <v>490</v>
      </c>
    </row>
    <row r="20" customFormat="false" ht="15" hidden="false" customHeight="false" outlineLevel="0" collapsed="false">
      <c r="A20" s="30" t="s">
        <v>491</v>
      </c>
      <c r="B20" s="45" t="n">
        <f aca="false">B11/B7-1</f>
        <v>0.503197748784856</v>
      </c>
      <c r="C20" s="10" t="s">
        <v>492</v>
      </c>
    </row>
    <row r="21" customFormat="false" ht="15" hidden="false" customHeight="false" outlineLevel="0" collapsed="false">
      <c r="A21" s="30" t="s">
        <v>493</v>
      </c>
      <c r="B21" s="45" t="n">
        <f aca="false">E11/E5-1</f>
        <v>-0.125</v>
      </c>
      <c r="C21" s="10" t="s">
        <v>494</v>
      </c>
    </row>
    <row r="22" customFormat="false" ht="15" hidden="false" customHeight="false" outlineLevel="0" collapsed="false">
      <c r="A22" s="30" t="s">
        <v>495</v>
      </c>
      <c r="B22" s="40" t="n">
        <f aca="false">RSQ(E5:E11,A5:A11)</f>
        <v>0.0510596399099775</v>
      </c>
      <c r="C22" s="10" t="s">
        <v>496</v>
      </c>
    </row>
    <row r="24" customFormat="false" ht="15" hidden="false" customHeight="false" outlineLevel="0" collapsed="false">
      <c r="A24" s="46" t="s">
        <v>497</v>
      </c>
    </row>
    <row r="27" customFormat="false" ht="15" hidden="false" customHeight="false" outlineLevel="0" collapsed="false">
      <c r="A27" s="9" t="s">
        <v>232</v>
      </c>
      <c r="B27" s="9" t="s">
        <v>201</v>
      </c>
      <c r="C27" s="9" t="s">
        <v>470</v>
      </c>
      <c r="D27" s="9" t="s">
        <v>202</v>
      </c>
      <c r="E27" s="9" t="s">
        <v>205</v>
      </c>
    </row>
    <row r="28" customFormat="false" ht="15" hidden="false" customHeight="false" outlineLevel="0" collapsed="false">
      <c r="A28" s="5" t="s">
        <v>234</v>
      </c>
      <c r="B28" s="17" t="n">
        <f aca="false">base_agregada!B16</f>
        <v>4627</v>
      </c>
      <c r="C28" s="19" t="n">
        <f aca="false">B28/SUM($B$28:$B$39)</f>
        <v>0.0702999179555745</v>
      </c>
      <c r="D28" s="17" t="n">
        <f aca="false">base_agregada!C16</f>
        <v>5333</v>
      </c>
      <c r="E28" s="17" t="n">
        <f aca="false">base_agregada!D16</f>
        <v>63</v>
      </c>
    </row>
    <row r="29" customFormat="false" ht="15" hidden="false" customHeight="false" outlineLevel="0" collapsed="false">
      <c r="A29" s="5" t="s">
        <v>237</v>
      </c>
      <c r="B29" s="17" t="n">
        <f aca="false">base_agregada!B17</f>
        <v>4701</v>
      </c>
      <c r="C29" s="19" t="n">
        <f aca="false">B29/SUM($B$28:$B$39)</f>
        <v>0.0714242304536753</v>
      </c>
      <c r="D29" s="17" t="n">
        <f aca="false">base_agregada!C17</f>
        <v>5351</v>
      </c>
      <c r="E29" s="17" t="n">
        <f aca="false">base_agregada!D17</f>
        <v>56</v>
      </c>
    </row>
    <row r="30" customFormat="false" ht="15" hidden="false" customHeight="false" outlineLevel="0" collapsed="false">
      <c r="A30" s="5" t="s">
        <v>240</v>
      </c>
      <c r="B30" s="17" t="n">
        <f aca="false">base_agregada!B18</f>
        <v>5652</v>
      </c>
      <c r="C30" s="19" t="n">
        <f aca="false">B30/SUM($B$28:$B$39)</f>
        <v>0.0858731653954845</v>
      </c>
      <c r="D30" s="17" t="n">
        <f aca="false">base_agregada!C18</f>
        <v>6505</v>
      </c>
      <c r="E30" s="17" t="n">
        <f aca="false">base_agregada!D18</f>
        <v>53</v>
      </c>
    </row>
    <row r="31" customFormat="false" ht="15" hidden="false" customHeight="false" outlineLevel="0" collapsed="false">
      <c r="A31" s="5" t="s">
        <v>243</v>
      </c>
      <c r="B31" s="17" t="n">
        <f aca="false">base_agregada!B19</f>
        <v>5263</v>
      </c>
      <c r="C31" s="19" t="n">
        <f aca="false">B31/SUM($B$28:$B$39)</f>
        <v>0.0799629280743869</v>
      </c>
      <c r="D31" s="17" t="n">
        <f aca="false">base_agregada!C19</f>
        <v>5982</v>
      </c>
      <c r="E31" s="17" t="n">
        <f aca="false">base_agregada!D19</f>
        <v>61</v>
      </c>
    </row>
    <row r="32" customFormat="false" ht="15" hidden="false" customHeight="false" outlineLevel="0" collapsed="false">
      <c r="A32" s="5" t="s">
        <v>246</v>
      </c>
      <c r="B32" s="17" t="n">
        <f aca="false">base_agregada!B20</f>
        <v>5325</v>
      </c>
      <c r="C32" s="19" t="n">
        <f aca="false">B32/SUM($B$28:$B$39)</f>
        <v>0.0809049196268498</v>
      </c>
      <c r="D32" s="17" t="n">
        <f aca="false">base_agregada!C20</f>
        <v>6061</v>
      </c>
      <c r="E32" s="17" t="n">
        <f aca="false">base_agregada!D20</f>
        <v>67</v>
      </c>
    </row>
    <row r="33" customFormat="false" ht="15" hidden="false" customHeight="false" outlineLevel="0" collapsed="false">
      <c r="A33" s="5" t="s">
        <v>249</v>
      </c>
      <c r="B33" s="17" t="n">
        <f aca="false">base_agregada!B21</f>
        <v>5366</v>
      </c>
      <c r="C33" s="19" t="n">
        <f aca="false">B33/SUM($B$28:$B$39)</f>
        <v>0.0815278495244462</v>
      </c>
      <c r="D33" s="17" t="n">
        <f aca="false">base_agregada!C21</f>
        <v>6092</v>
      </c>
      <c r="E33" s="17" t="n">
        <f aca="false">base_agregada!D21</f>
        <v>56</v>
      </c>
    </row>
    <row r="34" customFormat="false" ht="15" hidden="false" customHeight="false" outlineLevel="0" collapsed="false">
      <c r="A34" s="5" t="s">
        <v>253</v>
      </c>
      <c r="B34" s="17" t="n">
        <f aca="false">base_agregada!B22</f>
        <v>5528</v>
      </c>
      <c r="C34" s="19" t="n">
        <f aca="false">B34/SUM($B$28:$B$39)</f>
        <v>0.0839891822905588</v>
      </c>
      <c r="D34" s="17" t="n">
        <f aca="false">base_agregada!C22</f>
        <v>6345</v>
      </c>
      <c r="E34" s="17" t="n">
        <f aca="false">base_agregada!D22</f>
        <v>53</v>
      </c>
    </row>
    <row r="35" customFormat="false" ht="15" hidden="false" customHeight="false" outlineLevel="0" collapsed="false">
      <c r="A35" s="5" t="s">
        <v>256</v>
      </c>
      <c r="B35" s="17" t="n">
        <f aca="false">base_agregada!B23</f>
        <v>5793</v>
      </c>
      <c r="C35" s="19" t="n">
        <f aca="false">B35/SUM($B$28:$B$39)</f>
        <v>0.0880154365067307</v>
      </c>
      <c r="D35" s="17" t="n">
        <f aca="false">base_agregada!C23</f>
        <v>6510</v>
      </c>
      <c r="E35" s="17" t="n">
        <f aca="false">base_agregada!D23</f>
        <v>64</v>
      </c>
    </row>
    <row r="36" customFormat="false" ht="15" hidden="false" customHeight="false" outlineLevel="0" collapsed="false">
      <c r="A36" s="5" t="s">
        <v>259</v>
      </c>
      <c r="B36" s="17" t="n">
        <f aca="false">base_agregada!B24</f>
        <v>5683</v>
      </c>
      <c r="C36" s="19" t="n">
        <f aca="false">B36/SUM($B$28:$B$39)</f>
        <v>0.086344161171716</v>
      </c>
      <c r="D36" s="17" t="n">
        <f aca="false">base_agregada!C24</f>
        <v>6415</v>
      </c>
      <c r="E36" s="17" t="n">
        <f aca="false">base_agregada!D24</f>
        <v>55</v>
      </c>
    </row>
    <row r="37" customFormat="false" ht="15" hidden="false" customHeight="false" outlineLevel="0" collapsed="false">
      <c r="A37" s="5" t="s">
        <v>263</v>
      </c>
      <c r="B37" s="17" t="n">
        <f aca="false">base_agregada!B25</f>
        <v>6192</v>
      </c>
      <c r="C37" s="19" t="n">
        <f aca="false">B37/SUM($B$28:$B$39)</f>
        <v>0.0940776079491932</v>
      </c>
      <c r="D37" s="17" t="n">
        <f aca="false">base_agregada!C25</f>
        <v>7182</v>
      </c>
      <c r="E37" s="17" t="n">
        <f aca="false">base_agregada!D25</f>
        <v>47</v>
      </c>
    </row>
    <row r="38" customFormat="false" ht="15" hidden="false" customHeight="false" outlineLevel="0" collapsed="false">
      <c r="A38" s="5" t="s">
        <v>267</v>
      </c>
      <c r="B38" s="17" t="n">
        <f aca="false">base_agregada!B26</f>
        <v>5690</v>
      </c>
      <c r="C38" s="19" t="n">
        <f aca="false">B38/SUM($B$28:$B$39)</f>
        <v>0.0864505150566714</v>
      </c>
      <c r="D38" s="17" t="n">
        <f aca="false">base_agregada!C26</f>
        <v>6462</v>
      </c>
      <c r="E38" s="17" t="n">
        <f aca="false">base_agregada!D26</f>
        <v>55</v>
      </c>
    </row>
    <row r="39" customFormat="false" ht="15" hidden="false" customHeight="false" outlineLevel="0" collapsed="false">
      <c r="A39" s="5" t="s">
        <v>270</v>
      </c>
      <c r="B39" s="17" t="n">
        <f aca="false">base_agregada!B27</f>
        <v>5998</v>
      </c>
      <c r="C39" s="19" t="n">
        <f aca="false">B39/SUM($B$28:$B$39)</f>
        <v>0.0911300859947127</v>
      </c>
      <c r="D39" s="17" t="n">
        <f aca="false">base_agregada!C27</f>
        <v>6955</v>
      </c>
      <c r="E39" s="17" t="n">
        <f aca="false">base_agregada!D27</f>
        <v>73</v>
      </c>
    </row>
    <row r="41" customFormat="false" ht="15" hidden="false" customHeight="false" outlineLevel="0" collapsed="false">
      <c r="A41" s="26" t="s">
        <v>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78"/>
    <col collapsed="false" customWidth="true" hidden="false" outlineLevel="0" max="4" min="4" style="0" width="40"/>
  </cols>
  <sheetData>
    <row r="1" customFormat="false" ht="18.55" hidden="false" customHeight="false" outlineLevel="0" collapsed="false">
      <c r="A1" s="8" t="s">
        <v>499</v>
      </c>
    </row>
    <row r="2" customFormat="false" ht="15" hidden="false" customHeight="false" outlineLevel="0" collapsed="false">
      <c r="A2" s="7" t="s">
        <v>500</v>
      </c>
    </row>
    <row r="4" customFormat="false" ht="15" hidden="false" customHeight="false" outlineLevel="0" collapsed="false">
      <c r="A4" s="9" t="s">
        <v>501</v>
      </c>
      <c r="B4" s="9" t="s">
        <v>502</v>
      </c>
      <c r="C4" s="9" t="s">
        <v>503</v>
      </c>
      <c r="D4" s="9" t="s">
        <v>504</v>
      </c>
    </row>
    <row r="5" customFormat="false" ht="45.75" hidden="false" customHeight="true" outlineLevel="0" collapsed="false">
      <c r="A5" s="47" t="n">
        <v>1</v>
      </c>
      <c r="B5" s="48" t="s">
        <v>505</v>
      </c>
      <c r="C5" s="49" t="s">
        <v>506</v>
      </c>
      <c r="D5" s="50" t="s">
        <v>507</v>
      </c>
    </row>
    <row r="7" customFormat="false" ht="45.75" hidden="false" customHeight="true" outlineLevel="0" collapsed="false">
      <c r="A7" s="47" t="n">
        <v>2</v>
      </c>
      <c r="B7" s="48" t="s">
        <v>508</v>
      </c>
      <c r="C7" s="49" t="s">
        <v>509</v>
      </c>
      <c r="D7" s="50" t="s">
        <v>510</v>
      </c>
    </row>
    <row r="9" customFormat="false" ht="45.75" hidden="false" customHeight="true" outlineLevel="0" collapsed="false">
      <c r="A9" s="47" t="n">
        <v>3</v>
      </c>
      <c r="B9" s="48" t="s">
        <v>511</v>
      </c>
      <c r="C9" s="49" t="s">
        <v>512</v>
      </c>
      <c r="D9" s="50" t="s">
        <v>513</v>
      </c>
    </row>
    <row r="11" customFormat="false" ht="45.75" hidden="false" customHeight="true" outlineLevel="0" collapsed="false">
      <c r="A11" s="47" t="n">
        <v>4</v>
      </c>
      <c r="B11" s="48" t="s">
        <v>514</v>
      </c>
      <c r="C11" s="49" t="s">
        <v>515</v>
      </c>
      <c r="D11" s="50" t="s">
        <v>516</v>
      </c>
    </row>
    <row r="13" customFormat="false" ht="45.75" hidden="false" customHeight="true" outlineLevel="0" collapsed="false">
      <c r="A13" s="47" t="n">
        <v>5</v>
      </c>
      <c r="B13" s="48" t="s">
        <v>517</v>
      </c>
      <c r="C13" s="49" t="s">
        <v>518</v>
      </c>
      <c r="D13" s="50" t="s">
        <v>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8.55" hidden="false" customHeight="false" outlineLevel="0" collapsed="false">
      <c r="A1" s="8" t="s">
        <v>520</v>
      </c>
    </row>
    <row r="2" customFormat="false" ht="15" hidden="false" customHeight="false" outlineLevel="0" collapsed="false">
      <c r="A2" s="7" t="s">
        <v>521</v>
      </c>
    </row>
    <row r="68" customFormat="false" ht="15" hidden="false" customHeight="false" outlineLevel="0" collapsed="false">
      <c r="A68" s="14" t="s">
        <v>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2026-09-18T02:24:52Z</dcterms:created>
  <dc:creator>openpyxl</dc:creator>
  <dc:description/>
  <dc:language>en-US</dc:language>
  <cp:lastModifiedBy/>
  <dcterms:modified xsi:type="dcterms:W3CDTF">2026-09-18T02:24:54Z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